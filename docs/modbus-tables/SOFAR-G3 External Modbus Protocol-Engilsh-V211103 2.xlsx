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orkbook.xml" ContentType="application/vnd.openxmlformats-officedocument.spreadsheetml.sheet.main+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125" windowHeight="12540" activeTab="1"/>
  </bookViews>
  <sheets>
    <sheet name="Protocol Explanation" sheetId="6" r:id="rId1"/>
    <sheet name="Registers" sheetId="1" r:id="rId2"/>
    <sheet name="Fault Addresses" sheetId="2" r:id="rId3"/>
    <sheet name="Version" sheetId="5" r:id="rId4"/>
  </sheets>
  <definedNames>
    <definedName name="_xlnm._FilterDatabase" localSheetId="1" hidden="1">Registers!$K$648:$K$675</definedName>
  </definedNames>
  <calcPr calcId="144525"/>
</workbook>
</file>

<file path=xl/comments1.xml><?xml version="1.0" encoding="utf-8"?>
<comments xmlns="http://schemas.openxmlformats.org/spreadsheetml/2006/main">
  <authors>
    <author>PF1VK175</author>
  </authors>
  <commentList>
    <comment ref="G1142" authorId="0">
      <text>
        <r>
          <rPr>
            <b/>
            <sz val="9"/>
            <rFont val="宋体"/>
            <charset val="134"/>
          </rPr>
          <t>PF1VK175:</t>
        </r>
        <r>
          <rPr>
            <sz val="9"/>
            <rFont val="宋体"/>
            <charset val="134"/>
          </rPr>
          <t xml:space="preserve">
-10000~-8000对应功率因数-1~-0.8</t>
        </r>
      </text>
    </comment>
    <comment ref="H1142" authorId="0">
      <text>
        <r>
          <rPr>
            <b/>
            <sz val="9"/>
            <rFont val="宋体"/>
            <charset val="134"/>
          </rPr>
          <t>PF1VK175:</t>
        </r>
        <r>
          <rPr>
            <sz val="9"/>
            <rFont val="宋体"/>
            <charset val="134"/>
          </rPr>
          <t xml:space="preserve">
8000~10000对应功率因数0.8~1
</t>
        </r>
      </text>
    </comment>
  </commentList>
</comments>
</file>

<file path=xl/sharedStrings.xml><?xml version="1.0" encoding="utf-8"?>
<sst xmlns="http://schemas.openxmlformats.org/spreadsheetml/2006/main" count="10945" uniqueCount="4497">
  <si>
    <t>Write Format</t>
  </si>
  <si>
    <t>Device Address</t>
  </si>
  <si>
    <t>Function Code</t>
  </si>
  <si>
    <t>Start Address</t>
  </si>
  <si>
    <t>Write Register No.</t>
  </si>
  <si>
    <t>Write Byte No.</t>
  </si>
  <si>
    <t>Data to write in</t>
  </si>
  <si>
    <t xml:space="preserve">CRC </t>
  </si>
  <si>
    <t>1 Byte</t>
  </si>
  <si>
    <t>Hi Byte</t>
  </si>
  <si>
    <t>Low Byte</t>
  </si>
  <si>
    <t>Hi Byte 1</t>
  </si>
  <si>
    <t>Low Byte 1</t>
  </si>
  <si>
    <t>…</t>
  </si>
  <si>
    <t>Hi Byte N</t>
  </si>
  <si>
    <t>Low Byte N</t>
  </si>
  <si>
    <t xml:space="preserve">Broadcast Address:0x00;
Device Address:1-247
</t>
  </si>
  <si>
    <t>Write Function Code:0x10</t>
  </si>
  <si>
    <t>For 32bits or 64bit data, it will be sent by Big-endian  mode if there is no special explanation.
For example, sequence to send a 32bits data:
byte3, byte2, byte1, byte0</t>
  </si>
  <si>
    <t>Modbus-CRC16</t>
  </si>
  <si>
    <t>Response Format of Write</t>
  </si>
  <si>
    <t xml:space="preserve">Slave Address
</t>
  </si>
  <si>
    <t>Read Format</t>
  </si>
  <si>
    <t>Read Register No.</t>
  </si>
  <si>
    <t xml:space="preserve">Device Address:1-247
</t>
  </si>
  <si>
    <t xml:space="preserve"> ReadFunction Code:0x03</t>
  </si>
  <si>
    <t>Response Format of Read</t>
  </si>
  <si>
    <t>Data Byte No.</t>
  </si>
  <si>
    <t>Response register data</t>
  </si>
  <si>
    <t>For 32bits or 64bit data, it will be sent by Big-endian  mode if there is no special explaination.
For example , sequence to send a 32bits data:
byte3,byte2,byte1,byte0</t>
  </si>
  <si>
    <t>Abnormal Response</t>
  </si>
  <si>
    <t>Error Code</t>
  </si>
  <si>
    <t>Abnormal Function Code:0x90</t>
  </si>
  <si>
    <t>See Error Code List</t>
  </si>
  <si>
    <t>Read and write explanation</t>
  </si>
  <si>
    <t>Value</t>
  </si>
  <si>
    <t>Name</t>
  </si>
  <si>
    <t xml:space="preserve"> Explanation</t>
  </si>
  <si>
    <t>R</t>
  </si>
  <si>
    <r>
      <rPr>
        <b/>
        <sz val="11"/>
        <color theme="1"/>
        <rFont val="Arial"/>
        <charset val="134"/>
      </rPr>
      <t>R</t>
    </r>
    <r>
      <rPr>
        <sz val="11"/>
        <color theme="1"/>
        <rFont val="Arial"/>
        <charset val="134"/>
      </rPr>
      <t>eadable</t>
    </r>
  </si>
  <si>
    <t>Readable registers</t>
  </si>
  <si>
    <t>W</t>
  </si>
  <si>
    <r>
      <rPr>
        <b/>
        <sz val="11"/>
        <color theme="1"/>
        <rFont val="Arial"/>
        <charset val="134"/>
      </rPr>
      <t>W</t>
    </r>
    <r>
      <rPr>
        <sz val="11"/>
        <color theme="1"/>
        <rFont val="Arial"/>
        <charset val="134"/>
      </rPr>
      <t>ritable</t>
    </r>
  </si>
  <si>
    <t>Writable registers</t>
  </si>
  <si>
    <t>V</t>
  </si>
  <si>
    <r>
      <rPr>
        <b/>
        <sz val="11"/>
        <color theme="1"/>
        <rFont val="Arial"/>
        <charset val="134"/>
      </rPr>
      <t>V</t>
    </r>
    <r>
      <rPr>
        <sz val="11"/>
        <color theme="1"/>
        <rFont val="Arial"/>
        <charset val="134"/>
      </rPr>
      <t>olatile</t>
    </r>
  </si>
  <si>
    <t>Variable registers, support frequent write operations</t>
  </si>
  <si>
    <t>Register address</t>
  </si>
  <si>
    <t>Field</t>
  </si>
  <si>
    <t>Type</t>
  </si>
  <si>
    <t>Accuracy</t>
  </si>
  <si>
    <t>Unit</t>
  </si>
  <si>
    <t>Min</t>
  </si>
  <si>
    <t>Max</t>
  </si>
  <si>
    <t>Read/Write</t>
  </si>
  <si>
    <t>Remarks</t>
  </si>
  <si>
    <t>User</t>
  </si>
  <si>
    <t>General</t>
  </si>
  <si>
    <t>AddressMask_General1</t>
  </si>
  <si>
    <t>U64</t>
  </si>
  <si>
    <t>The validity of 64 addresses above the address range (including the address of this partition) corresponding to each bit of this partition.
0 means invalid; 1 means valid.</t>
  </si>
  <si>
    <t>End User</t>
  </si>
  <si>
    <t>Modbus_Protocol_Version</t>
  </si>
  <si>
    <t>BCD16</t>
  </si>
  <si>
    <t>Version number of this protocol. The protocol version number corresponds to the version number in the cover of this protocol.
Bits 0-7 represent the minor version number, bits 0-3 represent the low version number, and bits 4-7 represent the high version number. Bits 8-15 represent the major version number, of which bits 8-11 represent the low-order version number, and bits 12-15 represent the high-order version number.
Example: The value 0x1234 indicates that the protocol version number is 12.34</t>
  </si>
  <si>
    <t>COMM_MCU_Code</t>
  </si>
  <si>
    <t>ASCII</t>
  </si>
  <si>
    <t>Communication chip code.
Refer to the chip coding specification, not open to modify.
Example: 0x4730 means "G0"</t>
  </si>
  <si>
    <t>CTRL1_MCU_Code</t>
  </si>
  <si>
    <t>No. 1 control chip code.
Refer to the chip coding specification, not open to Modify.
Example: 0x4730 means "G0"</t>
  </si>
  <si>
    <t>CTRL2_MCU_Code</t>
  </si>
  <si>
    <t>No. 2 control chip code name.
Refer to the chip coding specification, not open to Modify.
Example: 0x4730 means "G0"</t>
  </si>
  <si>
    <t>MCU_Code_Rsvd1</t>
  </si>
  <si>
    <t>MCU_Code_Rsvd2</t>
  </si>
  <si>
    <t>MCU_Code_Rsvd3</t>
  </si>
  <si>
    <t>MCU_Code_Rsvd4</t>
  </si>
  <si>
    <t>MCU_Code_Rsvd5</t>
  </si>
  <si>
    <t>MCU_Code_Rsvd6</t>
  </si>
  <si>
    <t>MCU_Code_Rsvd7</t>
  </si>
  <si>
    <t>MCU_Code_Rsvd8</t>
  </si>
  <si>
    <t>MCU_Code_Rsvd9</t>
  </si>
  <si>
    <t>MCU_Code_Rsvd10</t>
  </si>
  <si>
    <t>MCU_Code_Rsvd11</t>
  </si>
  <si>
    <t>MCU_Code_Rsvd12</t>
  </si>
  <si>
    <t>MCU_Code_Rsvd13</t>
  </si>
  <si>
    <t xml:space="preserve"> Real time data (0x0400-0x07FF)</t>
  </si>
  <si>
    <t>System info (0x0400-0x047F)</t>
  </si>
  <si>
    <t>AddressMask_Realtime_SysInfo1</t>
  </si>
  <si>
    <t>SysState</t>
  </si>
  <si>
    <t>U16</t>
  </si>
  <si>
    <t>Operating status
0: waiting state
1: Detection status
2: Grid-connected status
3: Emergency power supply status
4: Recoverable fault state
5: Permanent fault status
6: Upgrade status
7: Self-charging status</t>
  </si>
  <si>
    <t>Fault1</t>
  </si>
  <si>
    <t>Fault information table 1</t>
  </si>
  <si>
    <t>Fault2</t>
  </si>
  <si>
    <t>Fault information table 2</t>
  </si>
  <si>
    <t>Fault3</t>
  </si>
  <si>
    <t>Fault information table 3</t>
  </si>
  <si>
    <t>Fault4</t>
  </si>
  <si>
    <t>Fault information table 4</t>
  </si>
  <si>
    <t>Fault5</t>
  </si>
  <si>
    <t>Fault information table 5</t>
  </si>
  <si>
    <t>Fault6</t>
  </si>
  <si>
    <t>Fault information table 6</t>
  </si>
  <si>
    <t>Fault7</t>
  </si>
  <si>
    <t>Fault information table 7</t>
  </si>
  <si>
    <t>Fault8</t>
  </si>
  <si>
    <t>Fault information table 8</t>
  </si>
  <si>
    <t>Fault9</t>
  </si>
  <si>
    <t>Fault information table 9</t>
  </si>
  <si>
    <t>Fault10</t>
  </si>
  <si>
    <t>Fault information table 10</t>
  </si>
  <si>
    <t>Fault11</t>
  </si>
  <si>
    <t>Fault information table 11</t>
  </si>
  <si>
    <t>Fault12</t>
  </si>
  <si>
    <t>Fault information table 12</t>
  </si>
  <si>
    <t>Fault13</t>
  </si>
  <si>
    <t>Fault information table 13</t>
  </si>
  <si>
    <t>Fault14</t>
  </si>
  <si>
    <t>Fault information table 14</t>
  </si>
  <si>
    <t>Fault15</t>
  </si>
  <si>
    <t>Fault information table 15</t>
  </si>
  <si>
    <t>Fault16</t>
  </si>
  <si>
    <t>Fault information table 16</t>
  </si>
  <si>
    <t>Fault17</t>
  </si>
  <si>
    <t>Fault information table 17</t>
  </si>
  <si>
    <t>Fault18</t>
  </si>
  <si>
    <t>Fault information table 18</t>
  </si>
  <si>
    <t>Countdown</t>
  </si>
  <si>
    <t>seconds</t>
  </si>
  <si>
    <t>Power-on countdown</t>
  </si>
  <si>
    <t>Temperature_Env1</t>
  </si>
  <si>
    <t>I16</t>
  </si>
  <si>
    <r>
      <rPr>
        <sz val="11"/>
        <color theme="1"/>
        <rFont val="宋体"/>
        <charset val="134"/>
      </rPr>
      <t>℃</t>
    </r>
  </si>
  <si>
    <t>Ambient temperature 1</t>
  </si>
  <si>
    <t>Temperature_Env2</t>
  </si>
  <si>
    <t>Ambient temperature 2</t>
  </si>
  <si>
    <t>Temperature_HeatSink1</t>
  </si>
  <si>
    <t>Radiator temperature 1</t>
  </si>
  <si>
    <t>Temperature_HeatSink2</t>
  </si>
  <si>
    <t>Radiator temperature 2</t>
  </si>
  <si>
    <t>Temperature_HeatSink3</t>
  </si>
  <si>
    <t>Radiator temperature 3</t>
  </si>
  <si>
    <t>Temperature_HeatSink4</t>
  </si>
  <si>
    <t>Radiator temperature 4</t>
  </si>
  <si>
    <t>Temperature_HeatSink5</t>
  </si>
  <si>
    <t>Radiator temperature 5</t>
  </si>
  <si>
    <t>Temperature_HeatSink6</t>
  </si>
  <si>
    <t>Radiator temperature 6</t>
  </si>
  <si>
    <t>Temperature_Inv1</t>
  </si>
  <si>
    <t>Module temperature 1</t>
  </si>
  <si>
    <t>Temperature_Inv2</t>
  </si>
  <si>
    <t>Module temperature 2</t>
  </si>
  <si>
    <t>Temperature_Inv3</t>
  </si>
  <si>
    <t>Module temperature 3</t>
  </si>
  <si>
    <t>Temp_Rsvd1</t>
  </si>
  <si>
    <t>Reserve temperature 1</t>
  </si>
  <si>
    <t>Temp_Rsvd2</t>
  </si>
  <si>
    <t>Reserve temperature 2</t>
  </si>
  <si>
    <t>Temp_Rsvd3</t>
  </si>
  <si>
    <t>Reserve temperature 3</t>
  </si>
  <si>
    <t>GenerationTime_Today</t>
  </si>
  <si>
    <t>Minute</t>
  </si>
  <si>
    <t>Day of power generation time</t>
  </si>
  <si>
    <t>GenerationTime_Total</t>
  </si>
  <si>
    <t>U32</t>
  </si>
  <si>
    <t>Total power generation time</t>
  </si>
  <si>
    <t>ServiceTime_Total</t>
  </si>
  <si>
    <t>Total running time</t>
  </si>
  <si>
    <t>InsulationResistance</t>
  </si>
  <si>
    <t>kΩ</t>
  </si>
  <si>
    <t>Insulation resistance</t>
  </si>
  <si>
    <t>SysTime_Year</t>
  </si>
  <si>
    <t>System time-year</t>
  </si>
  <si>
    <t>SysTime_Month</t>
  </si>
  <si>
    <t>System time-month</t>
  </si>
  <si>
    <t>SysTime_Date</t>
  </si>
  <si>
    <t>System Time-Daily Minutes</t>
  </si>
  <si>
    <t>SysTime_Hour</t>
  </si>
  <si>
    <t>System time-hour</t>
  </si>
  <si>
    <t>SysTime_Minute</t>
  </si>
  <si>
    <t>System time-minutes</t>
  </si>
  <si>
    <t>SysTime_Second</t>
  </si>
  <si>
    <t>System time-second</t>
  </si>
  <si>
    <t>Fault19</t>
  </si>
  <si>
    <t>Fault message table 19</t>
  </si>
  <si>
    <t>Fault20</t>
  </si>
  <si>
    <t>Fault information table 20</t>
  </si>
  <si>
    <t>Fault21</t>
  </si>
  <si>
    <t>Fault information table 21</t>
  </si>
  <si>
    <t>Fault22</t>
  </si>
  <si>
    <t>Fault information table 22</t>
  </si>
  <si>
    <t>Fault23</t>
  </si>
  <si>
    <t>Fault information table 23</t>
  </si>
  <si>
    <t>Fault24</t>
  </si>
  <si>
    <t>Fault message table 24</t>
  </si>
  <si>
    <t>Fault25</t>
  </si>
  <si>
    <t>Fault information table 25</t>
  </si>
  <si>
    <t>Fault26</t>
  </si>
  <si>
    <t>Fault message table 26</t>
  </si>
  <si>
    <t>Fault27</t>
  </si>
  <si>
    <t>Fault information table 27</t>
  </si>
  <si>
    <t>AddressMask_Realtime_SysInfo2</t>
  </si>
  <si>
    <t>Each Character corresponds to the validity of 64 addresses in this field, . Bit4 represents the address where the highest bit address(Plus 1) of this field located                                                             0 means invalid; 1 means valid.</t>
  </si>
  <si>
    <t>Production_Code</t>
  </si>
  <si>
    <t>Reversed</t>
  </si>
  <si>
    <t>Serial_Number0</t>
  </si>
  <si>
    <t>The 1st and 2nd digits of the serial number. The High 8-bits store the 1st digit of Serial Number, The low 8-bits Store the 2nd digit of Serial number</t>
  </si>
  <si>
    <t>Serial_Number1</t>
  </si>
  <si>
    <t>The 3rd and 4th digits of the serial number. The High 8-bits store the 3rd digit of Serial Number, The low 8-bits Store the 4th digit of Serial number</t>
  </si>
  <si>
    <t>Serial_Number2</t>
  </si>
  <si>
    <t>The 5th and 6th digits of the serial number. The High 8-bits store the5th digit of Serial Number, The low 8-bit Store the 6th digit of Serial number</t>
  </si>
  <si>
    <t>Serial_Number3</t>
  </si>
  <si>
    <t>The 7th and 8th digits of the serial number. The High 8-bits store the 7th digit of Serial Number, The low 8-bits Store the 8th digit of Serial number</t>
  </si>
  <si>
    <t>Serial_Number4</t>
  </si>
  <si>
    <t>The 9th and 10th digits of the serial number. The High 8-bits store the 9th digit of Serial Number, The low 8-bits Store the 10th digit of Serial number</t>
  </si>
  <si>
    <t>Serial_Number5</t>
  </si>
  <si>
    <t>The 11th and 12th digits of the serial number. The High 8-bits store the 11th digit of Serial Number, The low 8-bits Store the 12th digit of Serial number</t>
  </si>
  <si>
    <t>Serial_Number6</t>
  </si>
  <si>
    <t>The 13th and 14th digits of the serial number. The High 8-bits store the 13th digit of Serial Number, The low 8-bits Store the 14th digit of Serial number</t>
  </si>
  <si>
    <t>Serial_Number7</t>
  </si>
  <si>
    <t>The 15th and 16th digits of the serial number. The High 8-bits store the 15th digit of Serial Number, The low 8-bits Store the 16th digit of Serial number</t>
  </si>
  <si>
    <t>Hardware_Version0</t>
  </si>
  <si>
    <t>The 1st and 2nd digits of the Hardware Version. The High 8-bits store the 1st digit of Serial Number, The low 8-bits Store the 2nd digit of Serial number</t>
  </si>
  <si>
    <t>Hardware_Version1</t>
  </si>
  <si>
    <t>The 3rd and 4th digits of the Hardware Version. The High 8-bits store the 3rd digit of Serial Number, The low 8-bits Store the 4th digit of Serial number</t>
  </si>
  <si>
    <t>Software_Version_Stage_COM</t>
  </si>
  <si>
    <t>Bits for communication chip's software version number. The lower 8 bits of the register store the ASCII code. The default value of the official version is'V'.</t>
  </si>
  <si>
    <t>Software_Version_Major_COM</t>
  </si>
  <si>
    <t>Software version number  for Communication chip. For one system, the software version number  need to be consistent for all chips. The high 8 bits of the register store the higher digits. The low 8 bits of the register store the lower digits.</t>
  </si>
  <si>
    <t>Software_Version_Custom_COM</t>
  </si>
  <si>
    <t>Non-standard customization software version number for communication chip. The standard software version number should be"00",For one system, the Non-standard customization  software version number  need to be consistent for all chips, otherwise it will consider as "Fault".  The high 8 bits of the register store the higher digits. The low 8 bits of the register store the lower digits.</t>
  </si>
  <si>
    <t>Software_Version_Minor_COM</t>
  </si>
  <si>
    <t>Subversion software number for communication chip. The high 8 bits of the register store the higher digits; The low 8 bits of the register store the lower digits.</t>
  </si>
  <si>
    <t>Software_Version_Stage_Master</t>
  </si>
  <si>
    <t>Bytes for main control chip's software version number, The lower 8 bits of the register store the ASCII code. The default value of the official version start with 'V'. The high 8 bits of the register store the higher digits; The low 8 bits of the register store the lower digits.</t>
  </si>
  <si>
    <t>Software_Version_Major_Master</t>
  </si>
  <si>
    <t>Software version number  for main control chip. For one system, the software version number  need to be consistent for all chips. The high 8 bits of the register store the higher digits; The low 8 bits of the register store the lower digits.</t>
  </si>
  <si>
    <t>Software_Version_Custom_Master</t>
  </si>
  <si>
    <t>Non-standard customization software version number for main control chip. The standard software version should be"00",For one system, the Non-standard customization  software version number  need to be consistent for all chips, otherwise it will consider as "Fault".  The high 8 bits of the register store the higher digits; The low 8 bits of the register store the lower digits.</t>
  </si>
  <si>
    <t>Software_Version_Minor_Master</t>
  </si>
  <si>
    <t>software subversion number for main control chip. The high 8 bits of the register store the higher digits; The low 8 bits of the register store the lower digits.</t>
  </si>
  <si>
    <t>Software_Version_Stage_Slave</t>
  </si>
  <si>
    <t>Bits for Secondary control chip's software version number, The lower 8 bits of the register store the ASCII code. The default value of the official version is'V'.The high 8 bits of the register store the higher digits; The low 8 bits of the register store the lower digits.</t>
  </si>
  <si>
    <t>Software_Version_Major_Slave</t>
  </si>
  <si>
    <t>Software version number  for Secondary control chip. For one system, the software version number  need to be consistent for all chips. The high 8 bits of the register store the higher digits; The low 8 bits of the register store the lower digits.</t>
  </si>
  <si>
    <t>Software_Version_Custom_Slave</t>
  </si>
  <si>
    <t>Non-standard customization software version number for secondary control chip. The standard software version should be"00",For one system, the Non-standard customization  software version number  need to be consistent for all chips, otherwise it will consider as "Fault".  The high 8 bits of the register store the higher digits; The low 8 bits of the register store the lower digits.</t>
  </si>
  <si>
    <t>Software_Version_Minor_Slave</t>
  </si>
  <si>
    <t>software subversion number for secondary control chip. The high 8 bits of the register store the higher digits; The low 8 bits of the register store the lower digits.</t>
  </si>
  <si>
    <t>Safety_Version_Major</t>
  </si>
  <si>
    <t>main version number for Safety regulation library</t>
  </si>
  <si>
    <t>Safety_version_Minor</t>
  </si>
  <si>
    <t>Sub-version number for Safety regulation library</t>
  </si>
  <si>
    <t>Boot_Version_COM</t>
  </si>
  <si>
    <t>Boot_Version_Master</t>
  </si>
  <si>
    <t>Boot_Version_Slave</t>
  </si>
  <si>
    <t>Safety_Firmware_Version_Stage</t>
  </si>
  <si>
    <t>Safety certification software version number stage definition bit.
The lower 8 bits of the register store the ASCII code. The default value of the official version is'V'.
The high 8 bits of the register store the high digits;
The lower 8 bits of the register store the lower digits.</t>
  </si>
  <si>
    <t>Safety_Firmware_Version_Major</t>
  </si>
  <si>
    <t>The major version number of the safety certification software.
The major version numbers of all chips in the same system must be the same, otherwise it will be regarded as a system failure.
The high 8 bits of the register store the high digits;
The lower 8 bits of the register store the lower digits.</t>
  </si>
  <si>
    <t>Safety_Firmware_Version_Custom</t>
  </si>
  <si>
    <t>Safety certification software non-standard customized version number.
The version number of the standard software is "00". The non-standard customized version numbers of all chips in the same system must be the same, otherwise it will be regarded as a system failure.
The high 8 bits of the register store the high digits;
The lower 8 bits of the register store the lower digits.</t>
  </si>
  <si>
    <t>Safety_Firmware_Version_Minor</t>
  </si>
  <si>
    <t>Safety certification software version number.
The high 8 bits of the register store the high digits;
The lower 8 bits of the register store the lower digits.</t>
  </si>
  <si>
    <t>Safety_Hardware_Version0</t>
  </si>
  <si>
    <t>Safety certification hardware version number 1st and 2nd.
The upper 8 bits of the register store the first bit of the serial number;
The lower 8 bits of the register store the second bit of the serial number.</t>
  </si>
  <si>
    <t>Safety_Hardware_Version1</t>
  </si>
  <si>
    <t>The 3rd and 4th digits of the hardware version number of safety certification.
The upper 8 bits of the register store the third bit of the serial number;
The lower 8 bits of the register store the 4th bit of the serial number.</t>
  </si>
  <si>
    <t>Serial_Number8</t>
  </si>
  <si>
    <t>The 17th and 18th digits of the serial number.
The upper 8 bits of the register store the 17th bit of the serial number;
The lower 8 bits of the register store the 18th bit of the serial number.</t>
  </si>
  <si>
    <t>Serial_Number9</t>
  </si>
  <si>
    <t>The 19th and 20th digits of the serial number.
The high 8 bits of the register store the 19th bit of the serial number;
The lower 8 bits of the register store the 20th bit of the serial number.</t>
  </si>
  <si>
    <t>Serial_Number11_Rsvd0</t>
  </si>
  <si>
    <t>Serial_Number11_Rsvd1</t>
  </si>
  <si>
    <t>Serial_Number12_Rsvd2</t>
  </si>
  <si>
    <t>Serial_Number13_Rsvd3</t>
  </si>
  <si>
    <t>Serial_Number14_Rsvd4</t>
  </si>
  <si>
    <t>On grid output (0x0480-0x04FF)</t>
  </si>
  <si>
    <t>AddressMask_Realtime_GridOutput1</t>
  </si>
  <si>
    <t>Each bit of this field corresponds to the validity of 64 addresses above the address of this field (including the address of this field). Bit4 represents the address where the highest bit address of this field is plus 1.
0 means invalid; 1 means valid.</t>
  </si>
  <si>
    <t>Frequency_Grid</t>
  </si>
  <si>
    <t>Hz</t>
  </si>
  <si>
    <t>Grid frequency</t>
  </si>
  <si>
    <t>ActivePower_Output_Total</t>
  </si>
  <si>
    <t>kW</t>
  </si>
  <si>
    <t>Total active power. Discharge is positive, charge is negative</t>
  </si>
  <si>
    <t>ReactivePower_Output_Total</t>
  </si>
  <si>
    <t>Total reactive power. The inverter end is positive for leading and negative for lagging</t>
  </si>
  <si>
    <t>ApparentPower_Output_Total</t>
  </si>
  <si>
    <t>Total apparent power. Discharge is positive, charge is negative</t>
  </si>
  <si>
    <t>ActivePower_PCC_Total</t>
  </si>
  <si>
    <t>Total PCC active power. Selling electricity is positive, buying electricity is negative</t>
  </si>
  <si>
    <t>ReactivePower_PCC_Total</t>
  </si>
  <si>
    <t>Total PCC reactive power. The inverter end is positive for lead and negative for lag</t>
  </si>
  <si>
    <t>ApparentPower_PCC_Total</t>
  </si>
  <si>
    <t>Total PCC apparent power. Selling electricity is positive, buying electricity is negative</t>
  </si>
  <si>
    <t>GridOutput_Rsvd1</t>
  </si>
  <si>
    <t>Grid-connected output reserved 1</t>
  </si>
  <si>
    <t>GridOutput_Rsvd2</t>
  </si>
  <si>
    <t>Grid-connected output reserved 2</t>
  </si>
  <si>
    <t>Voltage_Phase_R</t>
  </si>
  <si>
    <t>R phase grid voltage</t>
  </si>
  <si>
    <t>Current_Output_R</t>
  </si>
  <si>
    <t>A</t>
  </si>
  <si>
    <t>R-phase inverter output current</t>
  </si>
  <si>
    <t>ActivePower_Output_R</t>
  </si>
  <si>
    <t>The R-phase inverter outputs active power. Discharge is positive, charge is negative</t>
  </si>
  <si>
    <t>ReactivePower_Output_R</t>
  </si>
  <si>
    <t>The R-phase inverter outputs reactive power. The inverter end is positive for lead and negative for lag</t>
  </si>
  <si>
    <t>PowerFactor_Output_R</t>
  </si>
  <si>
    <t>p.u.</t>
  </si>
  <si>
    <t>R-phase power factor. The inverter end is positive for lead and negative for lag</t>
  </si>
  <si>
    <t>Current_PCC_R</t>
  </si>
  <si>
    <t>R phase PCC current</t>
  </si>
  <si>
    <t>ActivePower_PCC_R</t>
  </si>
  <si>
    <t>R-phase PCC active power</t>
  </si>
  <si>
    <t>ReactivePower_PCC_R</t>
  </si>
  <si>
    <t>R-phase PCC reactive power. The inverter end is positive for lead and negative for lag</t>
  </si>
  <si>
    <t>PowerFactor_PCC_R</t>
  </si>
  <si>
    <t>R-phase PCC power factor. The inverter end is positive for lead and negative for lag</t>
  </si>
  <si>
    <t>R_Rsvd1</t>
  </si>
  <si>
    <t>R phase reserved 1</t>
  </si>
  <si>
    <t>R_Rsvd2</t>
  </si>
  <si>
    <t>R phase reserved 2</t>
  </si>
  <si>
    <t>Voltage_Phase_S</t>
  </si>
  <si>
    <t>S phase grid voltage</t>
  </si>
  <si>
    <t>Current_Output_S</t>
  </si>
  <si>
    <t>S phase inverter output current</t>
  </si>
  <si>
    <t>ActivePower_Output_S</t>
  </si>
  <si>
    <t>The S-phase inverter outputs active power. Discharge is positive, charge is negative</t>
  </si>
  <si>
    <t>ReactivePower_Output_S</t>
  </si>
  <si>
    <t>The S-phase inverter outputs reactive power. The inverter end is positive for lead and negative for lag</t>
  </si>
  <si>
    <t>PowerFactor_Output_S</t>
  </si>
  <si>
    <t>S-phase power factor. The inverter end is positive for lead and negative for lag</t>
  </si>
  <si>
    <t>Current_PCC_S</t>
  </si>
  <si>
    <t>S phase PCC current</t>
  </si>
  <si>
    <t>ActivePower_PCC_S</t>
  </si>
  <si>
    <t>S-phase PCC active power. Discharge is positive, charge is negative</t>
  </si>
  <si>
    <t>ReactivePower_PCC_S</t>
  </si>
  <si>
    <t>S-phase PCC reactive power. The inverter end is positive for lead and negative for lag</t>
  </si>
  <si>
    <t>PowerFactor_PCC_S</t>
  </si>
  <si>
    <t>S-phase PCC power factor. The inverter end is positive for lead and negative for lag</t>
  </si>
  <si>
    <t>S_Rsvd1</t>
  </si>
  <si>
    <t>S phase reserved 1</t>
  </si>
  <si>
    <t>S_Rsvd2</t>
  </si>
  <si>
    <t>S phase reserved 2</t>
  </si>
  <si>
    <t>Voltage_Phase_T</t>
  </si>
  <si>
    <t>T phase grid voltage</t>
  </si>
  <si>
    <t>Current_Output_T</t>
  </si>
  <si>
    <t>T-phase inverter output current</t>
  </si>
  <si>
    <t>ActivePower_Output_T</t>
  </si>
  <si>
    <t>The T-phase inverter outputs active power. Discharge is positive, charge is negative</t>
  </si>
  <si>
    <t>ReactivePower_Output_T</t>
  </si>
  <si>
    <t>The T-phase inverter outputs reactive power. The inverter end is positive for lead and negative for lag</t>
  </si>
  <si>
    <t>PowerFactor_Output_T</t>
  </si>
  <si>
    <t>T-phase power factor. The inverter end is positive for lead and negative for lag</t>
  </si>
  <si>
    <t>Current_PCC_T</t>
  </si>
  <si>
    <t>T phase PCC current</t>
  </si>
  <si>
    <t>ActivePower_PCC_T</t>
  </si>
  <si>
    <t>T-phase PCC active power. Discharge is positive, charge is negative</t>
  </si>
  <si>
    <t>ReactivePower_PCC_T</t>
  </si>
  <si>
    <t>T-phase PCC reactive power. The inverter end is positive for lead and negative for lag</t>
  </si>
  <si>
    <t>PowerFactor_PCC_T</t>
  </si>
  <si>
    <t>T-phase PCC power factor. The inverter end is positive for lead and negative for lag</t>
  </si>
  <si>
    <t>T_Rsvd1</t>
  </si>
  <si>
    <t>T phase reserved 1</t>
  </si>
  <si>
    <t>T_Rsvd2</t>
  </si>
  <si>
    <t>T phase reserved 2</t>
  </si>
  <si>
    <t>ActivePower_PV_Ext</t>
  </si>
  <si>
    <t>External power generation</t>
  </si>
  <si>
    <t>ActivePower_Load_Sys</t>
  </si>
  <si>
    <t>System total load power</t>
  </si>
  <si>
    <t>Voltage_Phase_L1N</t>
  </si>
  <si>
    <t>Grid L1 to N voltage effective value</t>
  </si>
  <si>
    <t>Current_Output_L1N</t>
  </si>
  <si>
    <t>L1 output current effective value</t>
  </si>
  <si>
    <t>ActivePower_Output_L1N</t>
  </si>
  <si>
    <t>Active power output on L1 line</t>
  </si>
  <si>
    <t>i</t>
  </si>
  <si>
    <t>Current_PCC_L1N</t>
  </si>
  <si>
    <t>Effective value of CT current on L1 line</t>
  </si>
  <si>
    <t>ActivePower_PCC_L1N</t>
  </si>
  <si>
    <t>PCC active power on L1 line</t>
  </si>
  <si>
    <t>Voltage_Phase_L2N</t>
  </si>
  <si>
    <t>Grid L2 to N voltage effective value</t>
  </si>
  <si>
    <t>Current_Output_L2N</t>
  </si>
  <si>
    <t>L2 output current effective value</t>
  </si>
  <si>
    <t>ActivePower_Output_L2N</t>
  </si>
  <si>
    <t>Active power output on L2 line</t>
  </si>
  <si>
    <t>Current_PCC_L2N</t>
  </si>
  <si>
    <t>Effective value of CT current on L2 line</t>
  </si>
  <si>
    <t>ActivePower_PCC_L2N</t>
  </si>
  <si>
    <t>Voltage_Line_L1</t>
  </si>
  <si>
    <t>L1 line voltage: voltage between R/S phase</t>
  </si>
  <si>
    <t>Voltage_Line_L2</t>
  </si>
  <si>
    <t>L2 line voltage: voltage between S/T phase</t>
  </si>
  <si>
    <t>Voltage_Line_L3</t>
  </si>
  <si>
    <t>L3 line voltage: voltage between T/R phase</t>
  </si>
  <si>
    <t>Off grid output (0x0500-0x057F)</t>
  </si>
  <si>
    <t>AddressMask_Realtime_EmergencyOutput1</t>
  </si>
  <si>
    <t>Each bit of this field corresponds to the validity of 64 addresses above the address of this field (including the address of this field). Bit4 represents the address where the highest bit address of this field plus 1 is located.
0 means invalid; 1 means valid</t>
  </si>
  <si>
    <t>ActivePower_Load_Total</t>
  </si>
  <si>
    <t xml:space="preserve">Load active power. </t>
  </si>
  <si>
    <t>ReactivePower_Load_Total</t>
  </si>
  <si>
    <t>Load consumption is positive, and feedback is negative</t>
  </si>
  <si>
    <t>ApparentPower_Load_Total</t>
  </si>
  <si>
    <t>Load reactive power
Apparent power of the load. Load consumption is positive, and feedback is negative</t>
  </si>
  <si>
    <t>Frequency_Output</t>
  </si>
  <si>
    <t>Output voltage frequency</t>
  </si>
  <si>
    <t>ESOutput_Rsvd1</t>
  </si>
  <si>
    <t>Off-grid total output reserved 1</t>
  </si>
  <si>
    <t>ESOutput_Rsvd2</t>
  </si>
  <si>
    <t>Off-grid total output reserved 2</t>
  </si>
  <si>
    <t>Voltage_Output_R</t>
  </si>
  <si>
    <t>R-phase inverter output voltage</t>
  </si>
  <si>
    <t>Current_Load_R</t>
  </si>
  <si>
    <t>R phase load current</t>
  </si>
  <si>
    <t>ActivePower_Load_R</t>
  </si>
  <si>
    <t>R-phase load active power. Load consumption is positive, and feedback is negative.</t>
  </si>
  <si>
    <t>ReactivePower_Load_R</t>
  </si>
  <si>
    <t>R-phase load reactive power. The inverter end is positive for lead and negative for lag</t>
  </si>
  <si>
    <t>ApparentPower_Load_R</t>
  </si>
  <si>
    <t>kVA</t>
  </si>
  <si>
    <t>Apparent power of R-phase load. Load consumption is positive, and feedback is negative.</t>
  </si>
  <si>
    <t>LoadPeakRatio_R</t>
  </si>
  <si>
    <t>R phase load peak ratio</t>
  </si>
  <si>
    <t>ESR_Rsvd1</t>
  </si>
  <si>
    <t>ESR_Rsvd2</t>
  </si>
  <si>
    <t>Voltage_Output_S</t>
  </si>
  <si>
    <t>S phase inverter output voltage</t>
  </si>
  <si>
    <t>Current_Load_S</t>
  </si>
  <si>
    <t>S phase load current</t>
  </si>
  <si>
    <t>ActivePower_Load_S</t>
  </si>
  <si>
    <t>S-phase load active power. Load consumption is positive, and feedback is negative.</t>
  </si>
  <si>
    <t>ReactivePower_Load_S</t>
  </si>
  <si>
    <t>S-phase load reactive power. The inverter end is positive for lead and negative for lag</t>
  </si>
  <si>
    <t>ApparentPower_Load_S</t>
  </si>
  <si>
    <t>Apparent power of S-phase load. Load consumption is positive, and feedback is negative.</t>
  </si>
  <si>
    <t>LoadPeakRatio_S</t>
  </si>
  <si>
    <t>S phase load peak ratio</t>
  </si>
  <si>
    <t>ESS_Rsvd1</t>
  </si>
  <si>
    <t>ESS_Rsvd2</t>
  </si>
  <si>
    <t>Voltage_Output_T</t>
  </si>
  <si>
    <t>T-phase inverter output voltage</t>
  </si>
  <si>
    <t>Current_Load_T</t>
  </si>
  <si>
    <t>T phase load current</t>
  </si>
  <si>
    <t>ActivePower_Load_T</t>
  </si>
  <si>
    <t>T-phase load active power. Load consumption is positive, and feedback is negative.</t>
  </si>
  <si>
    <t>ReactivePower_Load_T</t>
  </si>
  <si>
    <t>T-phase load reactive power. The inverter end is positive for lead and negative for lag</t>
  </si>
  <si>
    <t>ApparentPower_Load_T</t>
  </si>
  <si>
    <t>Apparent power of T-phase load. Load consumption is positive, and feedback is negative.</t>
  </si>
  <si>
    <t>LoadPeakRatio_T</t>
  </si>
  <si>
    <t>T-phase load peak ratio</t>
  </si>
  <si>
    <t>EST_Rsvd1</t>
  </si>
  <si>
    <t>EST_Rsvd2</t>
  </si>
  <si>
    <t>Voltage_Output_L1N</t>
  </si>
  <si>
    <t>Inverter L1 to N voltage effective value</t>
  </si>
  <si>
    <t>Current_Load_L1N</t>
  </si>
  <si>
    <t>L1 load current effective value</t>
  </si>
  <si>
    <t>ActivePower_Load_L1N</t>
  </si>
  <si>
    <t>Load L1 to N active power</t>
  </si>
  <si>
    <t>Voltage_Output_L2N</t>
  </si>
  <si>
    <t>Effective value of inverter L2 to N voltage</t>
  </si>
  <si>
    <t>Current_Load_L2N</t>
  </si>
  <si>
    <t>L2 load current effective value</t>
  </si>
  <si>
    <t>ActivePower_Load_L2N</t>
  </si>
  <si>
    <t>Load L2 to N active power</t>
  </si>
  <si>
    <t>PV input (0x0580-0x05FF)</t>
  </si>
  <si>
    <t>AddressMask_Realtime_Input_PV1</t>
  </si>
  <si>
    <t xml:space="preserve">
Each bit of this field corresponds to the validity of 64 addresses above the address of this field (including the address of this field). Bit4 represents the address where the highest bit address of this field is plus 1.
0 means invalid; 1 means valid</t>
  </si>
  <si>
    <t>Voltage_PV1</t>
  </si>
  <si>
    <t>The first PV voltage</t>
  </si>
  <si>
    <t>Current_PV1</t>
  </si>
  <si>
    <t>The first PV current</t>
  </si>
  <si>
    <t>Power_PV1</t>
  </si>
  <si>
    <t>PV power of the first road</t>
  </si>
  <si>
    <t>Voltage_PV2</t>
  </si>
  <si>
    <t>The second PV voltage</t>
  </si>
  <si>
    <t>Current_PV2</t>
  </si>
  <si>
    <t>The second PV current</t>
  </si>
  <si>
    <t>Power_PV2</t>
  </si>
  <si>
    <t>PV power of the 2nd road</t>
  </si>
  <si>
    <t>Voltage_PV3</t>
  </si>
  <si>
    <t>No. 3 PV voltage</t>
  </si>
  <si>
    <t>Current_PV3</t>
  </si>
  <si>
    <t>No. 3 PV current</t>
  </si>
  <si>
    <t>Power_PV3</t>
  </si>
  <si>
    <t>No. 3 PV power</t>
  </si>
  <si>
    <t>Voltage_PV4</t>
  </si>
  <si>
    <t>No. 4 PV voltage</t>
  </si>
  <si>
    <t>Current_PV4</t>
  </si>
  <si>
    <t>No. 4 PV current</t>
  </si>
  <si>
    <t>Power_PV4</t>
  </si>
  <si>
    <t>No. 4 PV power</t>
  </si>
  <si>
    <t>Voltage_PV5</t>
  </si>
  <si>
    <t>No. 5 PV voltage</t>
  </si>
  <si>
    <t>Current_PV5</t>
  </si>
  <si>
    <t>No. 5 PV current</t>
  </si>
  <si>
    <t>Power_PV5</t>
  </si>
  <si>
    <t>No. 5 PV power</t>
  </si>
  <si>
    <t>Voltage_PV6</t>
  </si>
  <si>
    <t>No. 6 PV voltage</t>
  </si>
  <si>
    <t>Current_PV6</t>
  </si>
  <si>
    <t>No. 6 PV current</t>
  </si>
  <si>
    <t>Power_PV6</t>
  </si>
  <si>
    <t>No. 6 PV power</t>
  </si>
  <si>
    <t>Voltage_PV7</t>
  </si>
  <si>
    <t>No. 7 PV voltage</t>
  </si>
  <si>
    <t>Current_PV7</t>
  </si>
  <si>
    <t>No. 7 PV current</t>
  </si>
  <si>
    <t>Power_PV7</t>
  </si>
  <si>
    <t>No. 7 PV power</t>
  </si>
  <si>
    <t>Voltage_PV8</t>
  </si>
  <si>
    <t>No. 8 PV voltage</t>
  </si>
  <si>
    <t>Current_PV8</t>
  </si>
  <si>
    <t>No. 8 PV current</t>
  </si>
  <si>
    <t>Power_PV8</t>
  </si>
  <si>
    <t>No. 8 PV power</t>
  </si>
  <si>
    <t>Voltage_PV9</t>
  </si>
  <si>
    <t>No. 9 PV voltage</t>
  </si>
  <si>
    <t>Current_PV9</t>
  </si>
  <si>
    <t>No. 9 PV current</t>
  </si>
  <si>
    <t>Power_PV9</t>
  </si>
  <si>
    <t>No. 9 PV power</t>
  </si>
  <si>
    <t>Voltage_PV10</t>
  </si>
  <si>
    <t>No. 10 PV voltage</t>
  </si>
  <si>
    <t>Current_PV10</t>
  </si>
  <si>
    <t>No. 10 PV current</t>
  </si>
  <si>
    <t>Power_PV10</t>
  </si>
  <si>
    <t>No. 10 PV power</t>
  </si>
  <si>
    <t>Voltage_PV11</t>
  </si>
  <si>
    <t>11th PV voltage</t>
  </si>
  <si>
    <t>Current_PV11</t>
  </si>
  <si>
    <t>11th PV current</t>
  </si>
  <si>
    <t>Power_PV11</t>
  </si>
  <si>
    <t>11th PV power</t>
  </si>
  <si>
    <t>Voltage_PV12</t>
  </si>
  <si>
    <t>12th PV voltage</t>
  </si>
  <si>
    <t>Current_PV12</t>
  </si>
  <si>
    <t>12th PV current</t>
  </si>
  <si>
    <t>Power_PV12</t>
  </si>
  <si>
    <t>12th PV power</t>
  </si>
  <si>
    <t>Voltage_PV13</t>
  </si>
  <si>
    <t>13th PV voltage</t>
  </si>
  <si>
    <t>Current_PV13</t>
  </si>
  <si>
    <t>13th PV current</t>
  </si>
  <si>
    <t>Power_PV13</t>
  </si>
  <si>
    <t>13th PV power</t>
  </si>
  <si>
    <t>Voltage_PV14</t>
  </si>
  <si>
    <t>No. 14 PV voltage</t>
  </si>
  <si>
    <t>Current_PV14</t>
  </si>
  <si>
    <t>No. 14 PV current</t>
  </si>
  <si>
    <t>Power_PV14</t>
  </si>
  <si>
    <t>No. 14 PV power</t>
  </si>
  <si>
    <t>Voltage_PV15</t>
  </si>
  <si>
    <t>15th PV voltage</t>
  </si>
  <si>
    <t>Current_PV15</t>
  </si>
  <si>
    <t>15th PV current</t>
  </si>
  <si>
    <t>Power_PV15</t>
  </si>
  <si>
    <t>15th PV power</t>
  </si>
  <si>
    <t>Voltage_PV16</t>
  </si>
  <si>
    <t>16th PV voltage</t>
  </si>
  <si>
    <t>Current_PV16</t>
  </si>
  <si>
    <t>16th PV current</t>
  </si>
  <si>
    <t>Power_PV16</t>
  </si>
  <si>
    <t>16th PV power</t>
  </si>
  <si>
    <t>AddressMask_Realtime_Input_PV2</t>
  </si>
  <si>
    <t xml:space="preserve">Each bit of this field corresponds to the validity of 64 addresses above the address of this field (including the address of this field). Bit4 represents the address where the highest bit address of this field plus 1 is located.
0 means invalid; 1 means valid. </t>
  </si>
  <si>
    <t>Power_PV_Total</t>
  </si>
  <si>
    <t>Total PV power</t>
  </si>
  <si>
    <t>Battery input (0x0600-0x067F)</t>
  </si>
  <si>
    <t>AddressMask_Realtime_Input_Bat1</t>
  </si>
  <si>
    <t>Each bit of this field corresponds to the validity of 64 addresses above the address of this field (including the address of this field). Bit4 represents the address where the highest bit address of this field is plus 1.
0 means invalid; 1 means valid</t>
  </si>
  <si>
    <t>Voltage_Bat1</t>
  </si>
  <si>
    <t>No. 1 battery pack voltage</t>
  </si>
  <si>
    <t>Current_Bat1</t>
  </si>
  <si>
    <t>The charging and discharging current of the first battery pack. Charge is positive, discharge is negative</t>
  </si>
  <si>
    <t>Power_Bat1</t>
  </si>
  <si>
    <t>The charging and discharging power of the first battery pack. Charge is positive, discharge is negative</t>
  </si>
  <si>
    <t>Temperature_Env_Bat1</t>
  </si>
  <si>
    <t>℃</t>
  </si>
  <si>
    <t>Ambient temperature of the first battery pack</t>
  </si>
  <si>
    <t>SOC_Bat1</t>
  </si>
  <si>
    <t>%</t>
  </si>
  <si>
    <t>No. 1 battery pack SOC</t>
  </si>
  <si>
    <t>SOH_Bat1</t>
  </si>
  <si>
    <t>No. 1 battery pack SOH</t>
  </si>
  <si>
    <t>ChargeCycle_Bat1</t>
  </si>
  <si>
    <t>cycle</t>
  </si>
  <si>
    <t>Number of cycles of the first battery pack</t>
  </si>
  <si>
    <t>Voltage_Bat2</t>
  </si>
  <si>
    <t>No. 2 battery pack voltage</t>
  </si>
  <si>
    <t>Current_Bat2</t>
  </si>
  <si>
    <t>The charging and discharging current of the second battery pack. Charge is positive, discharge is negative</t>
  </si>
  <si>
    <t>Power_Bat2</t>
  </si>
  <si>
    <t>The charging and discharging power of the second battery pack. Charge is positive, discharge is negative</t>
  </si>
  <si>
    <t>Temperature_Env_Bat2</t>
  </si>
  <si>
    <t>Ambient temperature of the second battery pack</t>
  </si>
  <si>
    <t>SOC_Bat2</t>
  </si>
  <si>
    <t>2nd battery pack SOC</t>
  </si>
  <si>
    <t>SOH_Bat2</t>
  </si>
  <si>
    <t>2nd battery pack SOH</t>
  </si>
  <si>
    <t>ChargeCycle_Bat2</t>
  </si>
  <si>
    <t>Number of cycles of the second battery pack</t>
  </si>
  <si>
    <t>Voltage_Bat3</t>
  </si>
  <si>
    <t>No. 3 battery pack voltage</t>
  </si>
  <si>
    <t>Current_Bat3</t>
  </si>
  <si>
    <t>The charging and discharging current of the third battery pack. Charge is positive, discharge is negative</t>
  </si>
  <si>
    <t>Power_Bat3</t>
  </si>
  <si>
    <t>The charging and discharging power of the third battery pack. Charge is positive, discharge is negative</t>
  </si>
  <si>
    <t>Temperature_Env_Bat3</t>
  </si>
  <si>
    <t>Ambient temperature of the third battery pack</t>
  </si>
  <si>
    <t>SOC_Bat3</t>
  </si>
  <si>
    <t>No. 3 battery pack SOC</t>
  </si>
  <si>
    <t>SOH_Bat3</t>
  </si>
  <si>
    <t>No. 3 battery pack SOH</t>
  </si>
  <si>
    <t>ChargeCycle_Bat3</t>
  </si>
  <si>
    <t>Number of cycles of the third battery pack</t>
  </si>
  <si>
    <t>Voltage_Bat4</t>
  </si>
  <si>
    <t>No. 4 battery pack voltage</t>
  </si>
  <si>
    <t>Current_Bat4</t>
  </si>
  <si>
    <t>Charging and discharging current of No. 4 battery pack. Charge is positive, discharge is negative</t>
  </si>
  <si>
    <t>Power_Bat4</t>
  </si>
  <si>
    <t>Charging and discharging power of the 4th battery pack. Charge is positive, discharge is negative</t>
  </si>
  <si>
    <t>Temperature_Env_Bat4</t>
  </si>
  <si>
    <t>Ambient temperature of battery pack No. 4</t>
  </si>
  <si>
    <t>SOC_Bat4</t>
  </si>
  <si>
    <t>No. 4 battery pack SOC</t>
  </si>
  <si>
    <t>SOH_Bat4</t>
  </si>
  <si>
    <t>No. 4 battery pack SOH</t>
  </si>
  <si>
    <t>ChargeCycle_Bat4</t>
  </si>
  <si>
    <t>Number of cycles of the 4th battery pack</t>
  </si>
  <si>
    <t>Voltage_Bat5</t>
  </si>
  <si>
    <t>No. 5 battery pack voltage</t>
  </si>
  <si>
    <t>Current_Bat5</t>
  </si>
  <si>
    <t>No. 5 battery pack charging and discharging current. Charge is positive, discharge is negative</t>
  </si>
  <si>
    <t>Power_Bat5</t>
  </si>
  <si>
    <t>Charging and discharging power of No. 5 battery pack. Charge is positive, discharge is negative</t>
  </si>
  <si>
    <t>Temperature_Env_Bat5</t>
  </si>
  <si>
    <t>Ambient temperature of battery pack No. 5</t>
  </si>
  <si>
    <t>SOC_Bat5</t>
  </si>
  <si>
    <t>No. 5 battery pack SOC</t>
  </si>
  <si>
    <t>SOH_Bat5</t>
  </si>
  <si>
    <t>No. 5 battery pack SOH</t>
  </si>
  <si>
    <t>ChargeCycle_Bat5</t>
  </si>
  <si>
    <t>Number of cycles of the 5th battery pack</t>
  </si>
  <si>
    <t>Voltage_Bat6</t>
  </si>
  <si>
    <t>No. 6 battery pack voltage</t>
  </si>
  <si>
    <t>Current_Bat6</t>
  </si>
  <si>
    <t>No. 6 battery pack charge and discharge current. Charge is positive, discharge is negative</t>
  </si>
  <si>
    <t>Power_Bat6</t>
  </si>
  <si>
    <t>Charging and discharging power of No. 6 battery pack. Charge is positive, discharge is negative</t>
  </si>
  <si>
    <t>Temperature_Env_Bat6</t>
  </si>
  <si>
    <t>Ambient temperature of the 6th battery pack</t>
  </si>
  <si>
    <t>SOC_Bat6</t>
  </si>
  <si>
    <t>6th battery pack SOC</t>
  </si>
  <si>
    <t>SOH_Bat6</t>
  </si>
  <si>
    <t>No. 6 battery pack SOH</t>
  </si>
  <si>
    <t>ChargeCycle_Bat6</t>
  </si>
  <si>
    <t>Number of cycles of the 6th battery pack</t>
  </si>
  <si>
    <t>Voltage_Bat7</t>
  </si>
  <si>
    <t>No. 7 battery pack voltage</t>
  </si>
  <si>
    <t>Current_Bat7</t>
  </si>
  <si>
    <t>No. 7 battery pack charging and discharging current. Charge is positive, discharge is negative</t>
  </si>
  <si>
    <t>Power_Bat7</t>
  </si>
  <si>
    <t>Charging and discharging power of No. 7 battery pack. Charge is positive, discharge is negative</t>
  </si>
  <si>
    <t>Temperature_Env_Bat7</t>
  </si>
  <si>
    <t>Ambient temperature of battery pack No. 7</t>
  </si>
  <si>
    <t>SOC_Bat7</t>
  </si>
  <si>
    <t>No. 7 battery pack SOC</t>
  </si>
  <si>
    <t>SOH_Bat7</t>
  </si>
  <si>
    <t>No. 7 battery pack SOH</t>
  </si>
  <si>
    <t>ChargeCycle_Bat7</t>
  </si>
  <si>
    <t>No. 7 battery pack cycle times</t>
  </si>
  <si>
    <t>Voltage_Bat8</t>
  </si>
  <si>
    <t>No. 8 battery pack voltage</t>
  </si>
  <si>
    <t>Current_Bat8</t>
  </si>
  <si>
    <t>Charging and discharging current of No. 8 battery pack. Charge is positive, discharge is negative</t>
  </si>
  <si>
    <t>Power_Bat8</t>
  </si>
  <si>
    <t>Charging and discharging power of No. 8 battery pack. Charge is positive, discharge is negative</t>
  </si>
  <si>
    <t>Temperature_Env_Bat8</t>
  </si>
  <si>
    <t>Ambient temperature of the 8th battery pack</t>
  </si>
  <si>
    <t>SOC_Bat8</t>
  </si>
  <si>
    <t>No. 8 battery pack SOC</t>
  </si>
  <si>
    <t>SOH_Bat8</t>
  </si>
  <si>
    <t>No. 8 battery pack SOH</t>
  </si>
  <si>
    <t>ChargeCycle_Bat8</t>
  </si>
  <si>
    <t>Number of cycles of the 8th battery pack</t>
  </si>
  <si>
    <t>AddressMask_Realtime_Input_Bat2</t>
  </si>
  <si>
    <t>Voltage_Bat9</t>
  </si>
  <si>
    <t>No. 9 battery pack voltage</t>
  </si>
  <si>
    <t>Current_Bat9</t>
  </si>
  <si>
    <t>No. 9 battery pack charging and discharging current. Charge is positive, discharge is negative</t>
  </si>
  <si>
    <t>Power_Bat9</t>
  </si>
  <si>
    <t>The charging and discharging power of the 9th battery pack. Charge is positive, discharge is negative</t>
  </si>
  <si>
    <t>Temperature_Env_Bat9</t>
  </si>
  <si>
    <t>Ambient temperature of the 9th battery pack</t>
  </si>
  <si>
    <t>SOC_Bat9</t>
  </si>
  <si>
    <t>No. 9 battery pack SOC</t>
  </si>
  <si>
    <t>SOH_Bat9</t>
  </si>
  <si>
    <t>No. 9 battery pack SOH</t>
  </si>
  <si>
    <t>ChargeCycle_Bat9</t>
  </si>
  <si>
    <t>Number of cycles of the 9th battery pack</t>
  </si>
  <si>
    <t>Voltage_Bat10</t>
  </si>
  <si>
    <t>No. 10 battery pack voltage</t>
  </si>
  <si>
    <t>Current_Bat10</t>
  </si>
  <si>
    <t>No. 10 battery pack charge and discharge current. Charge is positive, discharge is negative</t>
  </si>
  <si>
    <t>Power_Bat10</t>
  </si>
  <si>
    <t>Charging and discharging power of No. 10 battery pack. Charge is positive, discharge is negative</t>
  </si>
  <si>
    <t>Temperature_Env_Bat10</t>
  </si>
  <si>
    <t>Ambient temperature of No. 10 battery pack</t>
  </si>
  <si>
    <t>SOC_Bat10</t>
  </si>
  <si>
    <t>No. 10 battery pack SOC</t>
  </si>
  <si>
    <t>SOH_Bat10</t>
  </si>
  <si>
    <t>No. 10 battery pack SOH</t>
  </si>
  <si>
    <t>ChargeCycle_Bat10</t>
  </si>
  <si>
    <t>Number of cycles of the 10th battery pack</t>
  </si>
  <si>
    <t>Voltage_Bat11</t>
  </si>
  <si>
    <t>No. 11 battery pack voltage</t>
  </si>
  <si>
    <t>Current_Bat11</t>
  </si>
  <si>
    <t>The charging and discharging current of No. 11 battery pack. Charge is positive, discharge is negative</t>
  </si>
  <si>
    <t>Power_Bat11</t>
  </si>
  <si>
    <t>Charging and discharging power of No. 11 battery pack. Charge is positive, discharge is negative</t>
  </si>
  <si>
    <t>Temperature_Env_Bat11</t>
  </si>
  <si>
    <t>Ambient temperature of battery pack No. 11</t>
  </si>
  <si>
    <t>SOC_Bat11</t>
  </si>
  <si>
    <t>No. 11 battery pack SOC</t>
  </si>
  <si>
    <t>SOH_Bat11</t>
  </si>
  <si>
    <t>No. 11 battery pack SOH</t>
  </si>
  <si>
    <t>ChargeCycle_Bat11</t>
  </si>
  <si>
    <t>Number of cycles of the 11th battery pack</t>
  </si>
  <si>
    <t>Voltage_Bat12</t>
  </si>
  <si>
    <t>No. 12 battery pack voltage</t>
  </si>
  <si>
    <t>Current_Bat12</t>
  </si>
  <si>
    <t>Charging and discharging current of No. 12 battery pack. Charge is positive, discharge is negative</t>
  </si>
  <si>
    <t>Power_Bat12</t>
  </si>
  <si>
    <t>Charging and discharging power of No. 12 battery pack. Charge is positive, discharge is negative</t>
  </si>
  <si>
    <t>Temperature_Env_Bat12</t>
  </si>
  <si>
    <t>Ambient temperature of the 12th battery pack</t>
  </si>
  <si>
    <t>SOC_Bat12</t>
  </si>
  <si>
    <t>No. 12 battery pack SOC</t>
  </si>
  <si>
    <t>SOH_Bat12</t>
  </si>
  <si>
    <t>No. 12 battery pack SOH</t>
  </si>
  <si>
    <t>ChargeCycle_Bat12</t>
  </si>
  <si>
    <t>Number of cycles of the 12th battery pack</t>
  </si>
  <si>
    <t>Power_Bat_Total</t>
  </si>
  <si>
    <t>Total battery charge and discharge power. Charge is positive, discharge is negative</t>
  </si>
  <si>
    <t>SOC_Bat_Average</t>
  </si>
  <si>
    <t>Summarize the average value of battery pack SOC</t>
  </si>
  <si>
    <t>SOH_Bat</t>
  </si>
  <si>
    <t>Summary battery pack SOH</t>
  </si>
  <si>
    <t>Power (0x0680-0x06BF)</t>
  </si>
  <si>
    <t>AddressMask_Realtime_ElectricityStatistics1</t>
  </si>
  <si>
    <t>PV_Generation_Today</t>
  </si>
  <si>
    <t>kWh</t>
  </si>
  <si>
    <t xml:space="preserve">
Power generation of the day</t>
  </si>
  <si>
    <t>PV_Generation_Total</t>
  </si>
  <si>
    <t>Load_Consumption_Today</t>
  </si>
  <si>
    <t>Load power consumption of the day</t>
  </si>
  <si>
    <t>Load_Consumption_Total</t>
  </si>
  <si>
    <t>Total load power consumption</t>
  </si>
  <si>
    <t>Energy_Purchase_Today</t>
  </si>
  <si>
    <t>Buy electricity on the day</t>
  </si>
  <si>
    <t>Energy_Purchase_Total</t>
  </si>
  <si>
    <t>Total electricity purchased</t>
  </si>
  <si>
    <t>Energy_Selling_Today</t>
  </si>
  <si>
    <t>Electricity sold on the day</t>
  </si>
  <si>
    <t>Energy_Selling_Total</t>
  </si>
  <si>
    <t>Total electricity sold</t>
  </si>
  <si>
    <t>Bat_Charge_Today</t>
  </si>
  <si>
    <t>Battery charge capacity of the day</t>
  </si>
  <si>
    <t>Bat_Charge_Total</t>
  </si>
  <si>
    <t>Total battery charge</t>
  </si>
  <si>
    <t>Bat_Discharge_Today</t>
  </si>
  <si>
    <t>Battery discharge capacity of the day</t>
  </si>
  <si>
    <t>Bat_Discharge_Total</t>
  </si>
  <si>
    <t>Total battery discharge</t>
  </si>
  <si>
    <t>Internal info (0x06C0-0x06FF)</t>
  </si>
  <si>
    <t>AddressMask_Realtime_ClassifiedInfo1</t>
  </si>
  <si>
    <t>Installer</t>
  </si>
  <si>
    <t>GFCI</t>
  </si>
  <si>
    <t>mA</t>
  </si>
  <si>
    <t>Leakage current</t>
  </si>
  <si>
    <t>Current_Bus_Balance</t>
  </si>
  <si>
    <t>Balance current</t>
  </si>
  <si>
    <t>DCI_R</t>
  </si>
  <si>
    <t>R-phase current DC component</t>
  </si>
  <si>
    <t>DCI_S</t>
  </si>
  <si>
    <t>S-phase current DC component</t>
  </si>
  <si>
    <t>DCI_T</t>
  </si>
  <si>
    <t>T-phase current DC component</t>
  </si>
  <si>
    <t>DCV_R</t>
  </si>
  <si>
    <t>mV</t>
  </si>
  <si>
    <t>R-phase voltage DC component</t>
  </si>
  <si>
    <t>DCV_S</t>
  </si>
  <si>
    <t>S-phase voltage DC component</t>
  </si>
  <si>
    <t>DCV_T</t>
  </si>
  <si>
    <t>T-phase voltage DC component</t>
  </si>
  <si>
    <t>Voltage_Bus</t>
  </si>
  <si>
    <t>Total BUS voltage</t>
  </si>
  <si>
    <t>Voltage_Bus_P</t>
  </si>
  <si>
    <t>BUS positive voltage</t>
  </si>
  <si>
    <t>Voltage_Bus_N</t>
  </si>
  <si>
    <t>BUS negative voltage</t>
  </si>
  <si>
    <t>Voltage_Bus_LLC</t>
  </si>
  <si>
    <t>LLC Bus voltage</t>
  </si>
  <si>
    <t>Current_BuckBoost</t>
  </si>
  <si>
    <t>BuckBoost current</t>
  </si>
  <si>
    <t>Voltage_Bus_P_Half</t>
  </si>
  <si>
    <t>BUS positive half voltage</t>
  </si>
  <si>
    <t>Voltage_Bus_N_Half</t>
  </si>
  <si>
    <t>BUS negative half voltage</t>
  </si>
  <si>
    <t>FlyingCap_Voltage1</t>
  </si>
  <si>
    <t>PV1 flying capacitor voltage</t>
  </si>
  <si>
    <t>FlyingCap_Voltage2</t>
  </si>
  <si>
    <t>PV2 flying capacitor voltage</t>
  </si>
  <si>
    <t>FlyingCap_Voltage3</t>
  </si>
  <si>
    <t>PV3 flying capacitor voltage</t>
  </si>
  <si>
    <t>FlyingCap_Voltage4</t>
  </si>
  <si>
    <t>PV4 flying capacitor voltage</t>
  </si>
  <si>
    <t>FlyingCap_Voltage5</t>
  </si>
  <si>
    <t>PV5 flying capacitor voltage</t>
  </si>
  <si>
    <t>FlyingCap_Voltage6</t>
  </si>
  <si>
    <t>PV6 flying capacitor voltage</t>
  </si>
  <si>
    <t>FlyingCap_Voltage7</t>
  </si>
  <si>
    <t>PV7 flying capacitor voltage</t>
  </si>
  <si>
    <t>FlyingCap_Voltage8</t>
  </si>
  <si>
    <t>PV8 flying capacitor voltage</t>
  </si>
  <si>
    <t>FlyingCap_Voltage9</t>
  </si>
  <si>
    <t>PV9 flying capacitor voltage</t>
  </si>
  <si>
    <t>FlyingCap_Voltage10</t>
  </si>
  <si>
    <t>PV10 flying capacitor voltage</t>
  </si>
  <si>
    <t>FlyingCap_Voltage11</t>
  </si>
  <si>
    <t>PV11 flying capacitor voltage</t>
  </si>
  <si>
    <t>FlyingCap_Voltage12</t>
  </si>
  <si>
    <t>PV12 flying capacitor voltage</t>
  </si>
  <si>
    <t>FlyingCap_Voltage13</t>
  </si>
  <si>
    <t>PV13 flying capacitor voltage</t>
  </si>
  <si>
    <t>FlyingCap_Voltage14</t>
  </si>
  <si>
    <t>PV14 flying capacitor voltage</t>
  </si>
  <si>
    <t>FlyingCap_Voltage15</t>
  </si>
  <si>
    <t>PV15 flying capacitor voltage</t>
  </si>
  <si>
    <t>FlyingCap_Voltage16</t>
  </si>
  <si>
    <t>PV16 flying capacitor voltage</t>
  </si>
  <si>
    <t>Combined info (0x0700-0x077F)</t>
  </si>
  <si>
    <t>AddressMask_Realtime_CombinerInfo1</t>
  </si>
  <si>
    <t>Voltage_Group1</t>
  </si>
  <si>
    <t>The first group of bus voltage</t>
  </si>
  <si>
    <t>Current_Group1_Branch1</t>
  </si>
  <si>
    <t>The first group of the first string current</t>
  </si>
  <si>
    <t>Current_Group1_Branch2</t>
  </si>
  <si>
    <t>The first group and the second string current</t>
  </si>
  <si>
    <t>Voltage_Group2</t>
  </si>
  <si>
    <t>The second group of bus voltage</t>
  </si>
  <si>
    <t>Current_Group2_Branch1</t>
  </si>
  <si>
    <t>2nd group 1st string current</t>
  </si>
  <si>
    <t>Current_Group2_Branch2</t>
  </si>
  <si>
    <t>2nd group 2nd string current</t>
  </si>
  <si>
    <t>Voltage_Group3</t>
  </si>
  <si>
    <t>The third group of bus voltage</t>
  </si>
  <si>
    <t>Current_Group3_Branch1</t>
  </si>
  <si>
    <t>3rd group 1st string current</t>
  </si>
  <si>
    <t>Current_Group3_Branch2</t>
  </si>
  <si>
    <t>3rd group 2nd string current</t>
  </si>
  <si>
    <t>Voltage_Group4</t>
  </si>
  <si>
    <t>Group 4 bus voltage</t>
  </si>
  <si>
    <t>Current_Group4_Branch1</t>
  </si>
  <si>
    <t>4th group 1st string current</t>
  </si>
  <si>
    <t>Current_Group4_Branch2</t>
  </si>
  <si>
    <t>4th group 2nd string current</t>
  </si>
  <si>
    <t>Voltage_Group5</t>
  </si>
  <si>
    <t>Group 5 bus voltage</t>
  </si>
  <si>
    <t>Current_Group5_Branch1</t>
  </si>
  <si>
    <t>5th group 1st string current</t>
  </si>
  <si>
    <t>Current_Group5_Branch2</t>
  </si>
  <si>
    <t>5th group 2nd string current</t>
  </si>
  <si>
    <t>Voltage_Group6</t>
  </si>
  <si>
    <t>Group 6 bus voltage</t>
  </si>
  <si>
    <t>Current_Group6_Branch1</t>
  </si>
  <si>
    <t>6th group 1st string current</t>
  </si>
  <si>
    <t>Current_Group6_Branch2</t>
  </si>
  <si>
    <t>6th group 2nd string current</t>
  </si>
  <si>
    <t>Voltage_Group7</t>
  </si>
  <si>
    <t>Group 7 bus voltage</t>
  </si>
  <si>
    <t>Current_Group7_Branch1</t>
  </si>
  <si>
    <t>7th group 1st string current</t>
  </si>
  <si>
    <t>Current_Group7_Branch2</t>
  </si>
  <si>
    <t>7th group 2nd string current</t>
  </si>
  <si>
    <t>Voltage_Group8</t>
  </si>
  <si>
    <t>Group 8 bus voltage</t>
  </si>
  <si>
    <t>Current_Group8_Branch1</t>
  </si>
  <si>
    <t>8th group 1st string current</t>
  </si>
  <si>
    <t>Current_Group8_Branch2</t>
  </si>
  <si>
    <t>8th group 2nd string current</t>
  </si>
  <si>
    <t>Voltage_Group9</t>
  </si>
  <si>
    <t>Group 9 bus voltage</t>
  </si>
  <si>
    <t>Current_Group9_Branch1</t>
  </si>
  <si>
    <t>9th group 1st string current</t>
  </si>
  <si>
    <t>Current_Group9_Branch2</t>
  </si>
  <si>
    <t>9th group 2nd string current</t>
  </si>
  <si>
    <t>Voltage_Group10</t>
  </si>
  <si>
    <t>Group 10 bus voltage</t>
  </si>
  <si>
    <t>Current_Group10_Branch1</t>
  </si>
  <si>
    <t>10th group 1st string current</t>
  </si>
  <si>
    <t>Current_Group10_Branch2</t>
  </si>
  <si>
    <t>10th group 2nd string current</t>
  </si>
  <si>
    <t>Voltage_Group11</t>
  </si>
  <si>
    <t>Group 11 bus voltage</t>
  </si>
  <si>
    <t>Current_Group11_Branch1</t>
  </si>
  <si>
    <t>11th group 1st string current</t>
  </si>
  <si>
    <t>Current_Group11_Branch2</t>
  </si>
  <si>
    <t>11th group 2nd string current</t>
  </si>
  <si>
    <t>Voltage_Group12</t>
  </si>
  <si>
    <t>The 12th group of bus voltage</t>
  </si>
  <si>
    <t>Current_Group12_Branch1</t>
  </si>
  <si>
    <t>12th group 1st string current</t>
  </si>
  <si>
    <t>Current_Group12_Branch2</t>
  </si>
  <si>
    <t>12th group 2nd string current</t>
  </si>
  <si>
    <t>Voltage_Group13</t>
  </si>
  <si>
    <t>Group 13 bus voltage</t>
  </si>
  <si>
    <t>Current_Group13_Branch1</t>
  </si>
  <si>
    <t>13th group 1st string current</t>
  </si>
  <si>
    <t>Current_Group13_Branch2</t>
  </si>
  <si>
    <t>13th group 2nd string current</t>
  </si>
  <si>
    <t>Voltage_Group14</t>
  </si>
  <si>
    <t>Group 14 bus voltage</t>
  </si>
  <si>
    <t>Current_Group14_Branch1</t>
  </si>
  <si>
    <t>The 14th group and the 1st string current</t>
  </si>
  <si>
    <t>Current_Group14_Branch2</t>
  </si>
  <si>
    <t>The 14th group and the 2nd string current</t>
  </si>
  <si>
    <t>Voltage_Group15</t>
  </si>
  <si>
    <t>Group 15 bus voltage</t>
  </si>
  <si>
    <t>Current_Group15_Branch1</t>
  </si>
  <si>
    <t>15th group 1st string current</t>
  </si>
  <si>
    <t>Current_Group15_Branch2</t>
  </si>
  <si>
    <t>15th group 2nd string current</t>
  </si>
  <si>
    <t>Voltage_Group16</t>
  </si>
  <si>
    <t>The 16th group of bus voltage</t>
  </si>
  <si>
    <t>Current_Group16_Branch1</t>
  </si>
  <si>
    <t>The 16th group of the first string current</t>
  </si>
  <si>
    <t>Current_Group16_Branch2</t>
  </si>
  <si>
    <t>16th group 2nd string current</t>
  </si>
  <si>
    <t>AddressMask_Realtime_CombinerInfo2</t>
  </si>
  <si>
    <t>Arcing information (0x0780-0x07BF)</t>
  </si>
  <si>
    <t>AddressMask_Realtime_ArcInfo3</t>
  </si>
  <si>
    <t>ArcStrength_Channel1</t>
  </si>
  <si>
    <t>Real-time arc intensity monitored by channel 1</t>
  </si>
  <si>
    <t>ArcStrength_Channel2</t>
  </si>
  <si>
    <t>Real-time arc intensity monitored by channel 2</t>
  </si>
  <si>
    <t>ArcStrength_Channel3</t>
  </si>
  <si>
    <t>Real-time arc intensity monitored by channel 3</t>
  </si>
  <si>
    <t>ArcStrength_Channel4</t>
  </si>
  <si>
    <t>Real-time arc intensity monitored by channel 4</t>
  </si>
  <si>
    <t>ArcStrength_Channel5</t>
  </si>
  <si>
    <t>Real-time arc intensity monitored by channel 5</t>
  </si>
  <si>
    <t>ArcStrength_Channel6</t>
  </si>
  <si>
    <t>Real-time arc intensity monitored by channel 6</t>
  </si>
  <si>
    <t>ArcStrength_Channel7</t>
  </si>
  <si>
    <t>Real-time arc intensity monitored by channel 7</t>
  </si>
  <si>
    <t>ArcStrength_Channel8</t>
  </si>
  <si>
    <t>Real-time arc intensity monitored by channel 8</t>
  </si>
  <si>
    <t>ArcStrength_Channel9</t>
  </si>
  <si>
    <t>Real-time arc intensity monitored by channel 9</t>
  </si>
  <si>
    <t>ArcStrength_Channel10</t>
  </si>
  <si>
    <t>Real-time arc intensity monitored by channel 10</t>
  </si>
  <si>
    <t>ArcStrength_Channel11</t>
  </si>
  <si>
    <t>Real-time arc intensity monitored by channel 11</t>
  </si>
  <si>
    <t>ArcStrength_Channel12</t>
  </si>
  <si>
    <t>Real-time arc intensity monitored by channel 12</t>
  </si>
  <si>
    <t>ArcStrength_Channel13</t>
  </si>
  <si>
    <t>Real-time arc intensity monitored by channel 13</t>
  </si>
  <si>
    <t>ArcStrength_Channel14</t>
  </si>
  <si>
    <t>Real-time arc intensity monitored by channel 14</t>
  </si>
  <si>
    <t>ArcStrength_Channel15</t>
  </si>
  <si>
    <t>Real-time arc intensity monitored by channel 15</t>
  </si>
  <si>
    <t>ArcStrength_Channel16</t>
  </si>
  <si>
    <t>Real-time arc intensity monitored by channel 16</t>
  </si>
  <si>
    <t>ArcStrength_Channel17</t>
  </si>
  <si>
    <t>Real-time arc intensity monitored by channel 17</t>
  </si>
  <si>
    <t>ArcStrength_Channel18</t>
  </si>
  <si>
    <t>Real-time arc intensity monitored by channel 18</t>
  </si>
  <si>
    <t>ArcStrength_Channel19</t>
  </si>
  <si>
    <t>Real-time arc intensity monitored by channel 19</t>
  </si>
  <si>
    <t>ArcStrength_Channel20</t>
  </si>
  <si>
    <t>Real-time arc intensity monitored by channel 20</t>
  </si>
  <si>
    <t>ArcStrength_Channel21</t>
  </si>
  <si>
    <t>Real-time arc intensity monitored by channel 21</t>
  </si>
  <si>
    <t>ArcStrength_Channel22</t>
  </si>
  <si>
    <t>Real-time arc intensity monitored by channel 22</t>
  </si>
  <si>
    <t>ArcStrength_Channel23</t>
  </si>
  <si>
    <t>Real-time arc intensity monitored by channel 23</t>
  </si>
  <si>
    <t>ArcStrength_Channel24</t>
  </si>
  <si>
    <t>Real-time arc intensity monitored by channel 24</t>
  </si>
  <si>
    <t>ArcStrength_Channel25</t>
  </si>
  <si>
    <t>Real-time arc intensity monitored by channel 25</t>
  </si>
  <si>
    <t>ArcStrength_Channel26</t>
  </si>
  <si>
    <t>Real-time arc intensity monitored by channel 26</t>
  </si>
  <si>
    <t>ArcStrength_Channel27</t>
  </si>
  <si>
    <t>Real-time arc intensity monitored by channel 27</t>
  </si>
  <si>
    <t>ArcStrength_Channel28</t>
  </si>
  <si>
    <t>Real-time arc intensity monitored by channel 28</t>
  </si>
  <si>
    <t>ArcStrength_Channel29</t>
  </si>
  <si>
    <t>Real-time arc intensity monitored by channel 29</t>
  </si>
  <si>
    <t>ArcStrength_Channel30</t>
  </si>
  <si>
    <t>Real-time arc intensity monitored by channel 30</t>
  </si>
  <si>
    <t>ArcStrength_history_Channel1</t>
  </si>
  <si>
    <t>Record the monitored arc intensity history after channel 1 is powered on
Maximum value, automatically cleared after power failure</t>
  </si>
  <si>
    <t>ArcStrength_history_Channel2</t>
  </si>
  <si>
    <t>Record the monitored arc intensity history after channel 2 is powered on
Maximum value, automatically cleared after power failure</t>
  </si>
  <si>
    <t>ArcStrength_history_Channel3</t>
  </si>
  <si>
    <t>Record the monitored arc intensity history after channel 3 is powered on
Maximum value, automatically cleared after power failure</t>
  </si>
  <si>
    <t>ArcStrength_history_Channel4</t>
  </si>
  <si>
    <t>Record the monitored arc intensity history after channel 4 is powered on
Maximum value, automatically cleared after power failure</t>
  </si>
  <si>
    <t>ArcStrength_history_Channel5</t>
  </si>
  <si>
    <t>Record the monitored arc intensity history after channel 5 is powered on
Maximum value, automatically cleared after power failure</t>
  </si>
  <si>
    <t>ArcStrength_history_Channel6</t>
  </si>
  <si>
    <t>Record the monitored arc intensity history after channel 6 is powered on
Maximum value, automatically cleared after power failure</t>
  </si>
  <si>
    <t>ArcStrength_history_Channel7</t>
  </si>
  <si>
    <t>Record the monitored arc intensity history after channel 7 is powered on
Maximum value, automatically cleared after power failure</t>
  </si>
  <si>
    <t>ArcStrength_history_Channel8</t>
  </si>
  <si>
    <t>Record the monitored arc intensity history after channel 8 is powered on
Maximum value, automatically cleared after power failure</t>
  </si>
  <si>
    <t>ArcStrength_history_Channel9</t>
  </si>
  <si>
    <t>Record the monitored arc intensity history after channel 9 is powered on
Maximum value, automatically cleared after power failure</t>
  </si>
  <si>
    <t>ArcStrength_history_Channel10</t>
  </si>
  <si>
    <t>Record the monitored arc intensity history after channel 10 is powered on
Maximum value, automatically cleared after power failure</t>
  </si>
  <si>
    <t>ArcStrength_history_Channel11</t>
  </si>
  <si>
    <t>Record the monitored arc intensity history after channel 11 is powered on
Maximum value, automatically cleared after power failure</t>
  </si>
  <si>
    <t>ArcStrength_history_Channel12</t>
  </si>
  <si>
    <t>Record the monitored arc intensity history after channel 12 is powered on
Maximum value, automatically cleared after power failure</t>
  </si>
  <si>
    <t>ArcStrength_history_Channel13</t>
  </si>
  <si>
    <t>Record the monitored arc intensity history after channel 13 is powered on
Maximum value, automatically cleared after power failure</t>
  </si>
  <si>
    <t>ArcStrength_history_Channel14</t>
  </si>
  <si>
    <t>Record the monitored arc intensity history after channel 14 is powered on
Maximum value, automatically cleared after power failure</t>
  </si>
  <si>
    <t>ArcStrength_history_Channel15</t>
  </si>
  <si>
    <t>Record the monitored arc intensity history after channel 15 is powered on
Maximum value, automatically cleared after power failure</t>
  </si>
  <si>
    <t>ArcStrength_history_Channel16</t>
  </si>
  <si>
    <t>Record the monitored arc intensity history after channel 16 is powered on
Maximum value, automatically cleared after power failure</t>
  </si>
  <si>
    <t>ArcStrength_history_Channel17</t>
  </si>
  <si>
    <t>Record the monitored arc intensity history after channel 17 is powered on
Maximum value, automatically cleared after power failure</t>
  </si>
  <si>
    <t>ArcStrength_history_Channel18</t>
  </si>
  <si>
    <t>Record the monitored arc intensity history after channel 18 is powered on
Maximum value, automatically cleared after power failure</t>
  </si>
  <si>
    <t>ArcStrength_history_Channel19</t>
  </si>
  <si>
    <t>Record the monitored arc intensity history after channel 19 is powered on
Maximum value, automatically cleared after power failure</t>
  </si>
  <si>
    <t>ArcStrength_history_Channel20</t>
  </si>
  <si>
    <t>Record the monitored arc intensity history after channel 20 is powered on
Maximum value, automatically cleared after power failure</t>
  </si>
  <si>
    <t>ArcStrength_history_Channel21</t>
  </si>
  <si>
    <t>Record the monitored arc intensity history after channel 21 is powered on
Maximum value, automatically cleared after power failure</t>
  </si>
  <si>
    <t>ArcStrength_history_Channel22</t>
  </si>
  <si>
    <t>Record the monitored arc intensity history after channel 22 is powered on
Maximum value, automatically cleared after power failure</t>
  </si>
  <si>
    <t>ArcStrength_history_Channel23</t>
  </si>
  <si>
    <t>Record the monitored arc intensity history after channel 23 is powered on
Maximum value, automatically cleared after power failure</t>
  </si>
  <si>
    <t>ArcStrength_history_Channel24</t>
  </si>
  <si>
    <t>Record the monitored arc intensity history after channel 24 is powered on
Maximum value, automatically cleared after power failure</t>
  </si>
  <si>
    <t>ArcStrength_history_Channel25</t>
  </si>
  <si>
    <t>Record the monitored arc intensity history after channel 25 is powered on
Maximum value, automatically cleared after power failure</t>
  </si>
  <si>
    <t>ArcStrength_history_Channel26</t>
  </si>
  <si>
    <t>Record the monitored arc intensity history after channel 26 is powered on
Maximum value, automatically cleared after power failure</t>
  </si>
  <si>
    <t>ArcStrength_history_Channel27</t>
  </si>
  <si>
    <t>Record the monitored arc intensity history after channel 27 is powered on
Maximum value, automatically cleared after power failure</t>
  </si>
  <si>
    <t>ArcStrength_history_Channel28</t>
  </si>
  <si>
    <t>Record the monitored arc intensity history after channel 28 is powered on
Maximum value, automatically cleared after power failure</t>
  </si>
  <si>
    <t>ArcStrength_history_Channel29</t>
  </si>
  <si>
    <t>Record the monitored arc intensity history after channel 29 is powered on
Maximum value, automatically cleared after power failure</t>
  </si>
  <si>
    <t>ArcStrength_history_Channel30</t>
  </si>
  <si>
    <t>Record the monitored arc intensity history after channel 30 is powered on
Maximum value, automatically cleared after power failure</t>
  </si>
  <si>
    <t>Safety Parameter Area(0x0800-0x0FFF)</t>
  </si>
  <si>
    <t>Boot Parameters (0x0800-0x083F)</t>
  </si>
  <si>
    <t>ConnectWaitTime</t>
  </si>
  <si>
    <t>Second</t>
  </si>
  <si>
    <t>RW</t>
  </si>
  <si>
    <t>Waiting time before generate on grid power</t>
  </si>
  <si>
    <t>PowerUpSpeed</t>
  </si>
  <si>
    <t>%Pn/min</t>
  </si>
  <si>
    <t>100 mean fully power sided in one minute, Other values are calculated based on this</t>
  </si>
  <si>
    <t>ReconnectWaitTime</t>
  </si>
  <si>
    <t>Waiting time after grid fault recovery</t>
  </si>
  <si>
    <t>ReconnectPowerUpSpeed</t>
  </si>
  <si>
    <t>VoltHighLimit</t>
  </si>
  <si>
    <t>Upper limit for starting voltage (Grid side)</t>
  </si>
  <si>
    <t>VoltLowLimit</t>
  </si>
  <si>
    <t>Lower limit for starting Voltage (Grid Side)</t>
  </si>
  <si>
    <t>FreqHighLimit</t>
  </si>
  <si>
    <t>Upper limit for starting frequency (Grid side)</t>
  </si>
  <si>
    <t>FreqLowLimit</t>
  </si>
  <si>
    <t>Lower limit for starting Frequency (Grid Side)</t>
  </si>
  <si>
    <t>ReconnectVoltHighLimit</t>
  </si>
  <si>
    <t xml:space="preserve">Upper limit for reconnected grid voltage </t>
  </si>
  <si>
    <t>ReconnectVoltLowLimit</t>
  </si>
  <si>
    <t>Lower limit For reconnected grid voltage</t>
  </si>
  <si>
    <t>ReconnectFreqHighLimit</t>
  </si>
  <si>
    <t>Upper limit for reconnected grid frequency</t>
  </si>
  <si>
    <t>ReconnectFreqLowLimit</t>
  </si>
  <si>
    <t>Lower limit for reconnected grid frequency</t>
  </si>
  <si>
    <t>Grid voltage protection Parameters (0x0840-0x087F)</t>
  </si>
  <si>
    <t>Voltage Config</t>
  </si>
  <si>
    <r>
      <rPr>
        <sz val="11"/>
        <color theme="1"/>
        <rFont val="Arial"/>
        <charset val="134"/>
      </rPr>
      <t>Bit0</t>
    </r>
    <r>
      <rPr>
        <sz val="11"/>
        <color theme="1"/>
        <rFont val="宋体"/>
        <charset val="134"/>
      </rPr>
      <t>：</t>
    </r>
    <r>
      <rPr>
        <sz val="11"/>
        <color theme="1"/>
        <rFont val="Arial"/>
        <charset val="134"/>
      </rPr>
      <t>OV1 protection enable bits</t>
    </r>
    <r>
      <rPr>
        <sz val="11"/>
        <color theme="1"/>
        <rFont val="Arial"/>
        <charset val="134"/>
      </rPr>
      <t xml:space="preserve">
</t>
    </r>
    <r>
      <rPr>
        <sz val="11"/>
        <color theme="1"/>
        <rFont val="Arial"/>
        <charset val="134"/>
      </rPr>
      <t>Bit1</t>
    </r>
    <r>
      <rPr>
        <sz val="11"/>
        <color theme="1"/>
        <rFont val="宋体"/>
        <charset val="134"/>
      </rPr>
      <t>：</t>
    </r>
    <r>
      <rPr>
        <sz val="11"/>
        <color theme="1"/>
        <rFont val="Arial"/>
        <charset val="134"/>
      </rPr>
      <t>OV2 protection enable bits</t>
    </r>
    <r>
      <rPr>
        <sz val="11"/>
        <color theme="1"/>
        <rFont val="Arial"/>
        <charset val="134"/>
      </rPr>
      <t xml:space="preserve">
</t>
    </r>
    <r>
      <rPr>
        <sz val="11"/>
        <color theme="1"/>
        <rFont val="Arial"/>
        <charset val="134"/>
      </rPr>
      <t>Bit2</t>
    </r>
    <r>
      <rPr>
        <sz val="11"/>
        <color theme="1"/>
        <rFont val="宋体"/>
        <charset val="134"/>
      </rPr>
      <t>：</t>
    </r>
    <r>
      <rPr>
        <sz val="11"/>
        <color theme="1"/>
        <rFont val="Arial"/>
        <charset val="134"/>
      </rPr>
      <t>OV3 protection enable bit</t>
    </r>
    <r>
      <rPr>
        <sz val="11"/>
        <color theme="1"/>
        <rFont val="Arial"/>
        <charset val="134"/>
      </rPr>
      <t xml:space="preserve">
</t>
    </r>
    <r>
      <rPr>
        <sz val="11"/>
        <color theme="1"/>
        <rFont val="Arial"/>
        <charset val="134"/>
      </rPr>
      <t>Bit3</t>
    </r>
    <r>
      <rPr>
        <sz val="11"/>
        <color theme="1"/>
        <rFont val="宋体"/>
        <charset val="134"/>
      </rPr>
      <t>：</t>
    </r>
    <r>
      <rPr>
        <sz val="11"/>
        <color theme="1"/>
        <rFont val="Arial"/>
        <charset val="134"/>
      </rPr>
      <t>UV1 protection enable bits</t>
    </r>
    <r>
      <rPr>
        <sz val="11"/>
        <color theme="1"/>
        <rFont val="Arial"/>
        <charset val="134"/>
      </rPr>
      <t xml:space="preserve">
</t>
    </r>
    <r>
      <rPr>
        <sz val="11"/>
        <color theme="1"/>
        <rFont val="Arial"/>
        <charset val="134"/>
      </rPr>
      <t>Bit4</t>
    </r>
    <r>
      <rPr>
        <sz val="11"/>
        <color theme="1"/>
        <rFont val="宋体"/>
        <charset val="134"/>
      </rPr>
      <t>：</t>
    </r>
    <r>
      <rPr>
        <sz val="11"/>
        <color theme="1"/>
        <rFont val="Arial"/>
        <charset val="134"/>
      </rPr>
      <t xml:space="preserve">UV2 protection enable bits
</t>
    </r>
    <r>
      <rPr>
        <sz val="11"/>
        <color theme="1"/>
        <rFont val="Arial"/>
        <charset val="134"/>
      </rPr>
      <t>Bit5</t>
    </r>
    <r>
      <rPr>
        <sz val="11"/>
        <color theme="1"/>
        <rFont val="宋体"/>
        <charset val="134"/>
      </rPr>
      <t>：</t>
    </r>
    <r>
      <rPr>
        <sz val="11"/>
        <color theme="1"/>
        <rFont val="Arial"/>
        <charset val="134"/>
      </rPr>
      <t>UV3 Protection enable bits</t>
    </r>
    <r>
      <rPr>
        <sz val="11"/>
        <color theme="1"/>
        <rFont val="Arial"/>
        <charset val="134"/>
      </rPr>
      <t xml:space="preserve">
</t>
    </r>
    <r>
      <rPr>
        <sz val="11"/>
        <color theme="1"/>
        <rFont val="Arial"/>
        <charset val="134"/>
      </rPr>
      <t>Bit6</t>
    </r>
    <r>
      <rPr>
        <sz val="11"/>
        <color theme="1"/>
        <rFont val="宋体"/>
        <charset val="134"/>
      </rPr>
      <t>：</t>
    </r>
    <r>
      <rPr>
        <sz val="11"/>
        <color theme="1"/>
        <rFont val="Arial"/>
        <charset val="134"/>
      </rPr>
      <t>over voltage protection  enable bits(ten minutes time period)</t>
    </r>
  </si>
  <si>
    <t>RatedVoltage</t>
  </si>
  <si>
    <t>Grid Rated voltage</t>
  </si>
  <si>
    <t>FirstOvervoltageProtectionValue</t>
  </si>
  <si>
    <t>OV1 trigger Value</t>
  </si>
  <si>
    <t>FirstOvervoltageProtectionTime</t>
  </si>
  <si>
    <t>ms</t>
  </si>
  <si>
    <t>OV1 trigger time</t>
  </si>
  <si>
    <t>SecondOvervoltageProtectionValue</t>
  </si>
  <si>
    <t>OV2 Trigger Value</t>
  </si>
  <si>
    <t>SecondOvervoltageProtectionTime</t>
  </si>
  <si>
    <t>OV2 Trigger time</t>
  </si>
  <si>
    <t>ThirdOvervoltageProtectionValue</t>
  </si>
  <si>
    <t xml:space="preserve">OV3 Trigger value </t>
  </si>
  <si>
    <t>ThirdOvervoltageProtectionTime</t>
  </si>
  <si>
    <t>OV3 Trigger Time</t>
  </si>
  <si>
    <t>FirstUnderVoltageProtectionValue</t>
  </si>
  <si>
    <t>UV1 trigger Value</t>
  </si>
  <si>
    <t>FirstUndervoltageProtectionTime</t>
  </si>
  <si>
    <t>UV1 trigger time</t>
  </si>
  <si>
    <t>SecondUnderVoltageProtectionValue</t>
  </si>
  <si>
    <t>UV2 Trigger Value</t>
  </si>
  <si>
    <t>SecondUndervoltageProtectionTime</t>
  </si>
  <si>
    <t>UV2 Trigger time</t>
  </si>
  <si>
    <t>ThirdUnderVoltageProtectionValue</t>
  </si>
  <si>
    <t xml:space="preserve">UV3 Trigger value </t>
  </si>
  <si>
    <t>ThirdUndervoltageProtectionTime</t>
  </si>
  <si>
    <t>UV3 Trig+K852:K863ger Time</t>
  </si>
  <si>
    <t>10MinOvervoltageProtectionValue</t>
  </si>
  <si>
    <t>Over Voltage protection for Ten minutes range</t>
  </si>
  <si>
    <t>Frquency Protection Parameter (0x0880-0x08BF)</t>
  </si>
  <si>
    <t>FrequencyConfig</t>
  </si>
  <si>
    <r>
      <rPr>
        <sz val="11"/>
        <color theme="1"/>
        <rFont val="Arial"/>
        <charset val="134"/>
      </rPr>
      <t>Bit0</t>
    </r>
    <r>
      <rPr>
        <sz val="11"/>
        <color theme="1"/>
        <rFont val="宋体"/>
        <charset val="134"/>
      </rPr>
      <t>：</t>
    </r>
    <r>
      <rPr>
        <sz val="11"/>
        <color theme="1"/>
        <rFont val="Arial"/>
        <charset val="134"/>
      </rPr>
      <t>OF1 protection enable bits</t>
    </r>
    <r>
      <rPr>
        <sz val="11"/>
        <color theme="1"/>
        <rFont val="Arial"/>
        <charset val="134"/>
      </rPr>
      <t xml:space="preserve">
</t>
    </r>
    <r>
      <rPr>
        <sz val="11"/>
        <color theme="1"/>
        <rFont val="Arial"/>
        <charset val="134"/>
      </rPr>
      <t>Bit1</t>
    </r>
    <r>
      <rPr>
        <sz val="11"/>
        <color theme="1"/>
        <rFont val="宋体"/>
        <charset val="134"/>
      </rPr>
      <t>：</t>
    </r>
    <r>
      <rPr>
        <sz val="11"/>
        <color theme="1"/>
        <rFont val="Arial"/>
        <charset val="134"/>
      </rPr>
      <t>OF2 protection enable bits</t>
    </r>
    <r>
      <rPr>
        <sz val="11"/>
        <color theme="1"/>
        <rFont val="Arial"/>
        <charset val="134"/>
      </rPr>
      <t xml:space="preserve">
</t>
    </r>
    <r>
      <rPr>
        <sz val="11"/>
        <color theme="1"/>
        <rFont val="Arial"/>
        <charset val="134"/>
      </rPr>
      <t>Bit2</t>
    </r>
    <r>
      <rPr>
        <sz val="11"/>
        <color theme="1"/>
        <rFont val="宋体"/>
        <charset val="134"/>
      </rPr>
      <t>：</t>
    </r>
    <r>
      <rPr>
        <sz val="11"/>
        <color theme="1"/>
        <rFont val="Arial"/>
        <charset val="134"/>
      </rPr>
      <t>OF3 protection enable bit</t>
    </r>
    <r>
      <rPr>
        <sz val="11"/>
        <color theme="1"/>
        <rFont val="Arial"/>
        <charset val="134"/>
      </rPr>
      <t xml:space="preserve">
</t>
    </r>
    <r>
      <rPr>
        <sz val="11"/>
        <color theme="1"/>
        <rFont val="Arial"/>
        <charset val="134"/>
      </rPr>
      <t>Bit3</t>
    </r>
    <r>
      <rPr>
        <sz val="11"/>
        <color theme="1"/>
        <rFont val="宋体"/>
        <charset val="134"/>
      </rPr>
      <t>：</t>
    </r>
    <r>
      <rPr>
        <sz val="11"/>
        <color theme="1"/>
        <rFont val="Arial"/>
        <charset val="134"/>
      </rPr>
      <t>UF1 protection enable bits</t>
    </r>
    <r>
      <rPr>
        <sz val="11"/>
        <color theme="1"/>
        <rFont val="Arial"/>
        <charset val="134"/>
      </rPr>
      <t xml:space="preserve">
</t>
    </r>
    <r>
      <rPr>
        <sz val="11"/>
        <color theme="1"/>
        <rFont val="Arial"/>
        <charset val="134"/>
      </rPr>
      <t>Bit4</t>
    </r>
    <r>
      <rPr>
        <sz val="11"/>
        <color theme="1"/>
        <rFont val="宋体"/>
        <charset val="134"/>
      </rPr>
      <t>：</t>
    </r>
    <r>
      <rPr>
        <sz val="11"/>
        <color theme="1"/>
        <rFont val="Arial"/>
        <charset val="134"/>
      </rPr>
      <t xml:space="preserve">UF2 protection enable bits
</t>
    </r>
    <r>
      <rPr>
        <sz val="11"/>
        <color theme="1"/>
        <rFont val="Arial"/>
        <charset val="134"/>
      </rPr>
      <t>Bit5</t>
    </r>
    <r>
      <rPr>
        <sz val="11"/>
        <color theme="1"/>
        <rFont val="宋体"/>
        <charset val="134"/>
      </rPr>
      <t>：</t>
    </r>
    <r>
      <rPr>
        <sz val="11"/>
        <color theme="1"/>
        <rFont val="Arial"/>
        <charset val="134"/>
      </rPr>
      <t>UF3 Protection enable bits</t>
    </r>
    <r>
      <rPr>
        <sz val="11"/>
        <color theme="1"/>
        <rFont val="Arial"/>
        <charset val="134"/>
      </rPr>
      <t xml:space="preserve">
</t>
    </r>
  </si>
  <si>
    <t>RatedFrequency</t>
  </si>
  <si>
    <t>Grid Rated Frequency</t>
  </si>
  <si>
    <t>FirstOverfrequencyProtectionValue</t>
  </si>
  <si>
    <t>OF1 Trigger Value</t>
  </si>
  <si>
    <t>FirstOverfrequencyProtectionTime</t>
  </si>
  <si>
    <t>OF1 trigger time</t>
  </si>
  <si>
    <t>SecondOverfrequencyProtectionValue</t>
  </si>
  <si>
    <t>OF2 Trigger Value</t>
  </si>
  <si>
    <t>SecondOverfrequencyProtectionTime</t>
  </si>
  <si>
    <t>OF2 Trigger time</t>
  </si>
  <si>
    <t>ThirdOverfrequencyProtectionValue</t>
  </si>
  <si>
    <t xml:space="preserve">OF3 Trigger value </t>
  </si>
  <si>
    <t>ThirdOverfrequencyProtectionTime</t>
  </si>
  <si>
    <t>OF3 Trigger Time</t>
  </si>
  <si>
    <t>FirstUnderfrequencyProtectionValue</t>
  </si>
  <si>
    <t>UF1 trigger Value</t>
  </si>
  <si>
    <t>FirstUnderfrequencyProtectionTime</t>
  </si>
  <si>
    <t>UF1 trigger time</t>
  </si>
  <si>
    <t>SecondUnderfrequencyProtectionValue</t>
  </si>
  <si>
    <t>UF2 Trigger Value</t>
  </si>
  <si>
    <t>SecondUnderfrequencyProtectionTime</t>
  </si>
  <si>
    <t>UF2 Trigger time</t>
  </si>
  <si>
    <t>ThirdUnderfrequencyProtectionValue</t>
  </si>
  <si>
    <t xml:space="preserve">UF3 Trigger value </t>
  </si>
  <si>
    <t>ThirdUnderfrequencyProtectionTime</t>
  </si>
  <si>
    <t>UF3 Trigger Time</t>
  </si>
  <si>
    <t>DCIProtection Parameter (0x08C0-0x08FF)</t>
  </si>
  <si>
    <t>DCI Config</t>
  </si>
  <si>
    <r>
      <rPr>
        <sz val="11"/>
        <rFont val="Arial"/>
        <charset val="134"/>
      </rPr>
      <t>Bit0</t>
    </r>
    <r>
      <rPr>
        <sz val="11"/>
        <rFont val="宋体"/>
        <charset val="134"/>
      </rPr>
      <t>：</t>
    </r>
    <r>
      <rPr>
        <sz val="11"/>
        <rFont val="Arial"/>
        <charset val="134"/>
      </rPr>
      <t>DCI  level 1 protection</t>
    </r>
    <r>
      <rPr>
        <sz val="11"/>
        <rFont val="Arial"/>
        <charset val="134"/>
      </rPr>
      <t xml:space="preserve">
</t>
    </r>
    <r>
      <rPr>
        <sz val="11"/>
        <rFont val="Arial"/>
        <charset val="134"/>
      </rPr>
      <t>Bit1</t>
    </r>
    <r>
      <rPr>
        <sz val="11"/>
        <rFont val="宋体"/>
        <charset val="134"/>
      </rPr>
      <t>：</t>
    </r>
    <r>
      <rPr>
        <sz val="11"/>
        <rFont val="Arial"/>
        <charset val="134"/>
      </rPr>
      <t>DCI  level 2 protection</t>
    </r>
    <r>
      <rPr>
        <sz val="11"/>
        <rFont val="Arial"/>
        <charset val="134"/>
      </rPr>
      <t xml:space="preserve">
</t>
    </r>
    <r>
      <rPr>
        <sz val="11"/>
        <rFont val="Arial"/>
        <charset val="134"/>
      </rPr>
      <t>Bit2</t>
    </r>
    <r>
      <rPr>
        <sz val="11"/>
        <rFont val="宋体"/>
        <charset val="134"/>
      </rPr>
      <t>：</t>
    </r>
    <r>
      <rPr>
        <sz val="11"/>
        <rFont val="Arial"/>
        <charset val="134"/>
      </rPr>
      <t>DCI level 3 protection</t>
    </r>
    <r>
      <rPr>
        <sz val="11"/>
        <rFont val="Arial"/>
        <charset val="134"/>
      </rPr>
      <t xml:space="preserve">
</t>
    </r>
    <r>
      <rPr>
        <sz val="11"/>
        <rFont val="Arial"/>
        <charset val="134"/>
      </rPr>
      <t>Bit3</t>
    </r>
    <r>
      <rPr>
        <sz val="11"/>
        <rFont val="宋体"/>
        <charset val="134"/>
      </rPr>
      <t>：</t>
    </r>
    <r>
      <rPr>
        <sz val="11"/>
        <rFont val="Arial"/>
        <charset val="134"/>
      </rPr>
      <t>DCI testing enable bot</t>
    </r>
  </si>
  <si>
    <t>DCIFirstProtectionValue</t>
  </si>
  <si>
    <r>
      <rPr>
        <sz val="11"/>
        <rFont val="Arial"/>
        <charset val="134"/>
      </rPr>
      <t>DCI</t>
    </r>
    <r>
      <rPr>
        <sz val="11"/>
        <rFont val="Arial"/>
        <charset val="134"/>
      </rPr>
      <t xml:space="preserve"> </t>
    </r>
    <r>
      <rPr>
        <sz val="11"/>
        <rFont val="Arial"/>
        <charset val="134"/>
      </rPr>
      <t xml:space="preserve">level 1 tripping value </t>
    </r>
  </si>
  <si>
    <t>DCIFirstProtectionTime</t>
  </si>
  <si>
    <r>
      <rPr>
        <sz val="11"/>
        <rFont val="Arial"/>
        <charset val="134"/>
      </rPr>
      <t>DCI</t>
    </r>
    <r>
      <rPr>
        <sz val="11"/>
        <rFont val="Arial"/>
        <charset val="134"/>
      </rPr>
      <t xml:space="preserve"> </t>
    </r>
    <r>
      <rPr>
        <sz val="11"/>
        <rFont val="Arial"/>
        <charset val="134"/>
      </rPr>
      <t>level 1 tripping time</t>
    </r>
  </si>
  <si>
    <t>DCISecondProtectionValue</t>
  </si>
  <si>
    <t>DCI level 2 tripping value</t>
  </si>
  <si>
    <t>DCISecondProtectionTime</t>
  </si>
  <si>
    <t>DCI level 2 tripping tie</t>
  </si>
  <si>
    <t>DCIThirdProtectionValue</t>
  </si>
  <si>
    <t>DCI level 3 tripping value</t>
  </si>
  <si>
    <t>DCIThirdProtectionTime</t>
  </si>
  <si>
    <t>DCI level 3 tripping time</t>
  </si>
  <si>
    <t>DCITestValue1</t>
  </si>
  <si>
    <t>DCI phase R testing value</t>
  </si>
  <si>
    <t>DCITestValue2</t>
  </si>
  <si>
    <t>DCI phase S testing value</t>
  </si>
  <si>
    <t>DCITestValue3</t>
  </si>
  <si>
    <t>DCI phase T testing value</t>
  </si>
  <si>
    <t>DCIFirstProtectionProportion</t>
  </si>
  <si>
    <t>DCI level 1 protection Ratio</t>
  </si>
  <si>
    <t>DCISecondProtectionProportion</t>
  </si>
  <si>
    <t>DCI level 2 protection Ratio</t>
  </si>
  <si>
    <t>DCIThirdProtectionProportion</t>
  </si>
  <si>
    <t>DCI level 3 protection Ratio</t>
  </si>
  <si>
    <t>Active power &amp;Over/Under voltage Power Derate  Paramter (0x0900-0x093F)</t>
  </si>
  <si>
    <t xml:space="preserve">Remote Config
</t>
  </si>
  <si>
    <r>
      <rPr>
        <sz val="11"/>
        <color theme="1"/>
        <rFont val="Arial"/>
        <charset val="134"/>
      </rPr>
      <t>Bit0</t>
    </r>
    <r>
      <rPr>
        <sz val="11"/>
        <color theme="1"/>
        <rFont val="宋体"/>
        <charset val="134"/>
      </rPr>
      <t>：</t>
    </r>
    <r>
      <rPr>
        <sz val="11"/>
        <color theme="1"/>
        <rFont val="Arial"/>
        <charset val="134"/>
      </rPr>
      <t xml:space="preserve">Active power derate </t>
    </r>
    <r>
      <rPr>
        <sz val="11"/>
        <color theme="1"/>
        <rFont val="Arial"/>
        <charset val="134"/>
      </rPr>
      <t xml:space="preserve">
</t>
    </r>
    <r>
      <rPr>
        <sz val="11"/>
        <color theme="1"/>
        <rFont val="Arial"/>
        <charset val="134"/>
      </rPr>
      <t>Bit1</t>
    </r>
    <r>
      <rPr>
        <sz val="11"/>
        <color theme="1"/>
        <rFont val="宋体"/>
        <charset val="134"/>
      </rPr>
      <t>：</t>
    </r>
    <r>
      <rPr>
        <sz val="11"/>
        <color theme="1"/>
        <rFont val="Arial"/>
        <charset val="134"/>
      </rPr>
      <t>remtely on/off control</t>
    </r>
    <r>
      <rPr>
        <sz val="11"/>
        <color theme="1"/>
        <rFont val="Arial"/>
        <charset val="134"/>
      </rPr>
      <t xml:space="preserve">
</t>
    </r>
    <r>
      <rPr>
        <sz val="11"/>
        <color theme="1"/>
        <rFont val="Arial"/>
        <charset val="134"/>
      </rPr>
      <t>Bit2</t>
    </r>
    <r>
      <rPr>
        <sz val="11"/>
        <color theme="1"/>
        <rFont val="宋体"/>
        <charset val="134"/>
      </rPr>
      <t>：</t>
    </r>
    <r>
      <rPr>
        <sz val="11"/>
        <color theme="1"/>
        <rFont val="Arial"/>
        <charset val="134"/>
      </rPr>
      <t>power derate leading by high AC  voltage</t>
    </r>
    <r>
      <rPr>
        <sz val="11"/>
        <color theme="1"/>
        <rFont val="Arial"/>
        <charset val="134"/>
      </rPr>
      <t xml:space="preserve">
</t>
    </r>
    <r>
      <rPr>
        <sz val="11"/>
        <color theme="1"/>
        <rFont val="Arial"/>
        <charset val="134"/>
      </rPr>
      <t>Bit3</t>
    </r>
    <r>
      <rPr>
        <sz val="11"/>
        <color theme="1"/>
        <rFont val="宋体"/>
        <charset val="134"/>
      </rPr>
      <t>：</t>
    </r>
    <r>
      <rPr>
        <sz val="11"/>
        <color theme="1"/>
        <rFont val="Arial"/>
        <charset val="134"/>
      </rPr>
      <t xml:space="preserve">battery charging </t>
    </r>
    <r>
      <rPr>
        <sz val="11"/>
        <color theme="1"/>
        <rFont val="Arial"/>
        <charset val="134"/>
      </rPr>
      <t xml:space="preserve">power derate leading high voltage </t>
    </r>
    <r>
      <rPr>
        <sz val="11"/>
        <color theme="1"/>
        <rFont val="Arial"/>
        <charset val="134"/>
      </rPr>
      <t xml:space="preserve">
</t>
    </r>
    <r>
      <rPr>
        <sz val="11"/>
        <color theme="1"/>
        <rFont val="Arial"/>
        <charset val="134"/>
      </rPr>
      <t>Bit4</t>
    </r>
    <r>
      <rPr>
        <sz val="11"/>
        <color theme="1"/>
        <rFont val="宋体"/>
        <charset val="134"/>
      </rPr>
      <t>：</t>
    </r>
    <r>
      <rPr>
        <sz val="11"/>
        <color theme="1"/>
        <rFont val="Arial"/>
        <charset val="134"/>
      </rPr>
      <t>battery charging power derate by low voltage</t>
    </r>
    <r>
      <rPr>
        <sz val="11"/>
        <color theme="1"/>
        <rFont val="Arial"/>
        <charset val="134"/>
      </rPr>
      <t xml:space="preserve">
</t>
    </r>
    <r>
      <rPr>
        <sz val="11"/>
        <color theme="1"/>
        <rFont val="Arial"/>
        <charset val="134"/>
      </rPr>
      <t>Bit5</t>
    </r>
    <r>
      <rPr>
        <sz val="11"/>
        <color theme="1"/>
        <rFont val="宋体"/>
        <charset val="134"/>
      </rPr>
      <t>：</t>
    </r>
    <r>
      <rPr>
        <sz val="11"/>
        <color theme="1"/>
        <rFont val="Arial"/>
        <charset val="134"/>
      </rPr>
      <t xml:space="preserve">DRM0 </t>
    </r>
    <r>
      <rPr>
        <sz val="11"/>
        <color theme="1"/>
        <rFont val="Arial"/>
        <charset val="134"/>
      </rPr>
      <t xml:space="preserve">
</t>
    </r>
    <r>
      <rPr>
        <sz val="11"/>
        <color theme="1"/>
        <rFont val="Arial"/>
        <charset val="134"/>
      </rPr>
      <t>Bit6</t>
    </r>
    <r>
      <rPr>
        <sz val="11"/>
        <color theme="1"/>
        <rFont val="宋体"/>
        <charset val="134"/>
      </rPr>
      <t>：</t>
    </r>
    <r>
      <rPr>
        <sz val="11"/>
        <color theme="1"/>
        <rFont val="Arial"/>
        <charset val="134"/>
      </rPr>
      <t>logic interface</t>
    </r>
    <r>
      <rPr>
        <sz val="11"/>
        <color theme="1"/>
        <rFont val="宋体"/>
        <charset val="134"/>
      </rPr>
      <t>（</t>
    </r>
    <r>
      <rPr>
        <sz val="11"/>
        <color theme="1"/>
        <rFont val="Arial"/>
        <charset val="134"/>
      </rPr>
      <t>DRM1-8</t>
    </r>
    <r>
      <rPr>
        <sz val="11"/>
        <color theme="1"/>
        <rFont val="宋体"/>
        <charset val="134"/>
      </rPr>
      <t>）</t>
    </r>
    <r>
      <rPr>
        <sz val="11"/>
        <color theme="1"/>
        <rFont val="Arial"/>
        <charset val="134"/>
      </rPr>
      <t xml:space="preserve">
</t>
    </r>
    <r>
      <rPr>
        <sz val="11"/>
        <color theme="1"/>
        <rFont val="Arial"/>
        <charset val="134"/>
      </rPr>
      <t>Bit7</t>
    </r>
    <r>
      <rPr>
        <sz val="11"/>
        <color theme="1"/>
        <rFont val="宋体"/>
        <charset val="134"/>
      </rPr>
      <t>：</t>
    </r>
    <r>
      <rPr>
        <sz val="11"/>
        <color theme="1"/>
        <rFont val="Arial"/>
        <charset val="134"/>
      </rPr>
      <t>reflux power overload</t>
    </r>
    <r>
      <rPr>
        <sz val="11"/>
        <color theme="1"/>
        <rFont val="宋体"/>
        <charset val="134"/>
      </rPr>
      <t>（</t>
    </r>
    <r>
      <rPr>
        <sz val="11"/>
        <color theme="1"/>
        <rFont val="Arial"/>
        <charset val="134"/>
      </rPr>
      <t>VDE4105</t>
    </r>
    <r>
      <rPr>
        <sz val="11"/>
        <color theme="1"/>
        <rFont val="宋体"/>
        <charset val="134"/>
      </rPr>
      <t>）</t>
    </r>
  </si>
  <si>
    <t>ActiveOutputLimit</t>
  </si>
  <si>
    <t>The percentage of active power output</t>
  </si>
  <si>
    <t>ActiveOutputDownSpeed</t>
  </si>
  <si>
    <t>active power derating rate</t>
  </si>
  <si>
    <t>GridVoltageDropStart</t>
  </si>
  <si>
    <t xml:space="preserve">the start point of power derate leading by  high grid  voltage </t>
  </si>
  <si>
    <t>GridVoltageDropStop</t>
  </si>
  <si>
    <t>the end point of power derate leading by high ac voltage</t>
  </si>
  <si>
    <t>GridVoltageDropMinPower</t>
  </si>
  <si>
    <t xml:space="preserve">cut -off power of power derate leading by high ac voltage </t>
  </si>
  <si>
    <t>OvervoltageDownSpeed</t>
  </si>
  <si>
    <t xml:space="preserve">power derating rate leading by high ac voltage </t>
  </si>
  <si>
    <t>ChgDerateVoltStart</t>
  </si>
  <si>
    <t xml:space="preserve">the start point of power derate leading by  low grid  voltage </t>
  </si>
  <si>
    <t>ChgDerateVoltEnd</t>
  </si>
  <si>
    <t>the end point of power derate leading by low ac voltage</t>
  </si>
  <si>
    <t>ChgDerateMinPower</t>
  </si>
  <si>
    <t xml:space="preserve">cut -off power of power derate leading by low ac voltage </t>
  </si>
  <si>
    <t>PowerForLogic1</t>
  </si>
  <si>
    <t>logic interface 1 corresponding power</t>
  </si>
  <si>
    <t>PowerForLogic2</t>
  </si>
  <si>
    <t>logic interface 2 corresponding power</t>
  </si>
  <si>
    <t>PowerForLogic3</t>
  </si>
  <si>
    <t>logic interface 3 corresponding power</t>
  </si>
  <si>
    <t>PowerForLogic4</t>
  </si>
  <si>
    <t>logic interface 4 corresponding power</t>
  </si>
  <si>
    <t>PowerForLogic5</t>
  </si>
  <si>
    <t>logic interface 5 corresponding power</t>
  </si>
  <si>
    <t>PowerForLogic6</t>
  </si>
  <si>
    <t>logic interface 6 corresponding power</t>
  </si>
  <si>
    <t>PowerForLogic7</t>
  </si>
  <si>
    <t>logic interface 7 corresponding power</t>
  </si>
  <si>
    <t>PowerForLogic8</t>
  </si>
  <si>
    <t>logic interface 8 corresponding power</t>
  </si>
  <si>
    <t>RefluxPower</t>
  </si>
  <si>
    <t>Reflux power (upper limit of VDE4105 safety grid-connected power)</t>
  </si>
  <si>
    <t>RefluxOVloadTime</t>
  </si>
  <si>
    <t>Reflux power over load (upper limit of VDE4105 safety grid-connected power)</t>
  </si>
  <si>
    <t>LogicDerateSpeed</t>
  </si>
  <si>
    <t>Logical interface derating rate</t>
  </si>
  <si>
    <t>LogicReloadSpeed</t>
  </si>
  <si>
    <t>Logical interface reload rate</t>
  </si>
  <si>
    <t>VoltageDerateResponseTime</t>
  </si>
  <si>
    <t>Voltage derate time</t>
  </si>
  <si>
    <t>Over/Under Frquency Power Derate (0x0940-0x097F)</t>
  </si>
  <si>
    <t>FrequencyDerateConfig</t>
  </si>
  <si>
    <r>
      <rPr>
        <sz val="11"/>
        <color theme="1"/>
        <rFont val="Arial"/>
        <charset val="134"/>
      </rPr>
      <t>Bit0</t>
    </r>
    <r>
      <rPr>
        <sz val="11"/>
        <color theme="1"/>
        <rFont val="宋体"/>
        <charset val="134"/>
      </rPr>
      <t>：</t>
    </r>
    <r>
      <rPr>
        <sz val="11"/>
        <color theme="1"/>
        <rFont val="Arial"/>
        <charset val="134"/>
      </rPr>
      <t xml:space="preserve">enable, </t>
    </r>
    <r>
      <rPr>
        <sz val="11"/>
        <color theme="1"/>
        <rFont val="Arial"/>
        <charset val="134"/>
      </rPr>
      <t>higher</t>
    </r>
    <r>
      <rPr>
        <sz val="11"/>
        <color theme="1"/>
        <rFont val="Arial"/>
        <charset val="134"/>
      </rPr>
      <t xml:space="preserve"> frequency power derate </t>
    </r>
    <r>
      <rPr>
        <sz val="11"/>
        <color theme="1"/>
        <rFont val="Arial"/>
        <charset val="134"/>
      </rPr>
      <t xml:space="preserve">
</t>
    </r>
    <r>
      <rPr>
        <sz val="11"/>
        <color theme="1"/>
        <rFont val="Arial"/>
        <charset val="134"/>
      </rPr>
      <t>Bit1</t>
    </r>
    <r>
      <rPr>
        <sz val="11"/>
        <color theme="1"/>
        <rFont val="宋体"/>
        <charset val="134"/>
      </rPr>
      <t>：</t>
    </r>
    <r>
      <rPr>
        <sz val="11"/>
        <color theme="1"/>
        <rFont val="Arial"/>
        <charset val="134"/>
      </rPr>
      <t>enable, lower frequency power derate</t>
    </r>
    <r>
      <rPr>
        <sz val="11"/>
        <color theme="1"/>
        <rFont val="Arial"/>
        <charset val="134"/>
      </rPr>
      <t xml:space="preserve">
</t>
    </r>
    <r>
      <rPr>
        <sz val="11"/>
        <color theme="1"/>
        <rFont val="Arial"/>
        <charset val="134"/>
      </rPr>
      <t>Bit2</t>
    </r>
    <r>
      <rPr>
        <sz val="11"/>
        <color theme="1"/>
        <rFont val="宋体"/>
        <charset val="134"/>
      </rPr>
      <t>：</t>
    </r>
    <r>
      <rPr>
        <sz val="11"/>
        <color theme="1"/>
        <rFont val="Arial"/>
        <charset val="134"/>
      </rPr>
      <t>enable, higher frequency power reload</t>
    </r>
    <r>
      <rPr>
        <sz val="11"/>
        <color theme="1"/>
        <rFont val="Arial"/>
        <charset val="134"/>
      </rPr>
      <t xml:space="preserve">
</t>
    </r>
    <r>
      <rPr>
        <sz val="11"/>
        <color theme="1"/>
        <rFont val="Arial"/>
        <charset val="134"/>
      </rPr>
      <t>Bit3</t>
    </r>
    <r>
      <rPr>
        <sz val="11"/>
        <color theme="1"/>
        <rFont val="宋体"/>
        <charset val="134"/>
      </rPr>
      <t>：</t>
    </r>
    <r>
      <rPr>
        <sz val="11"/>
        <color theme="1"/>
        <rFont val="Arial"/>
        <charset val="134"/>
      </rPr>
      <t>enable, lower frequency power reload</t>
    </r>
    <r>
      <rPr>
        <sz val="11"/>
        <color theme="1"/>
        <rFont val="Arial"/>
        <charset val="134"/>
      </rPr>
      <t xml:space="preserve">
</t>
    </r>
    <r>
      <rPr>
        <sz val="11"/>
        <color theme="1"/>
        <rFont val="Arial"/>
        <charset val="134"/>
      </rPr>
      <t>Bit4</t>
    </r>
    <r>
      <rPr>
        <sz val="11"/>
        <color theme="1"/>
        <rFont val="宋体"/>
        <charset val="134"/>
      </rPr>
      <t>：</t>
    </r>
    <r>
      <rPr>
        <sz val="11"/>
        <color theme="1"/>
        <rFont val="Arial"/>
        <charset val="134"/>
      </rPr>
      <t>enable,power derate start from rated power</t>
    </r>
    <r>
      <rPr>
        <sz val="11"/>
        <color theme="1"/>
        <rFont val="Arial"/>
        <charset val="134"/>
      </rPr>
      <t xml:space="preserve">
</t>
    </r>
    <r>
      <rPr>
        <sz val="11"/>
        <color theme="1"/>
        <rFont val="Arial"/>
        <charset val="134"/>
      </rPr>
      <t>Bit5</t>
    </r>
    <r>
      <rPr>
        <sz val="11"/>
        <color theme="1"/>
        <rFont val="宋体"/>
        <charset val="134"/>
      </rPr>
      <t>：</t>
    </r>
    <r>
      <rPr>
        <sz val="11"/>
        <color theme="1"/>
        <rFont val="Arial"/>
        <charset val="134"/>
      </rPr>
      <t>enable,derating slope calculate by current power</t>
    </r>
    <r>
      <rPr>
        <sz val="11"/>
        <color theme="1"/>
        <rFont val="Arial"/>
        <charset val="134"/>
      </rPr>
      <t xml:space="preserve">
</t>
    </r>
    <r>
      <rPr>
        <sz val="11"/>
        <color theme="1"/>
        <rFont val="Arial"/>
        <charset val="134"/>
      </rPr>
      <t>Bit12-13</t>
    </r>
    <r>
      <rPr>
        <sz val="11"/>
        <color theme="1"/>
        <rFont val="宋体"/>
        <charset val="134"/>
      </rPr>
      <t>：</t>
    </r>
    <r>
      <rPr>
        <sz val="11"/>
        <color theme="1"/>
        <rFont val="Arial"/>
        <charset val="134"/>
      </rPr>
      <t>derating mode(0: slope mode ;  1:frquency mode)</t>
    </r>
  </si>
  <si>
    <t>OverfrequencyStart</t>
  </si>
  <si>
    <t>the Starting point of power derate leading by higher frequency</t>
  </si>
  <si>
    <t>OverfrequencyEnd</t>
  </si>
  <si>
    <t>The ending point of power derate leading by higher frequency</t>
  </si>
  <si>
    <t>OverfrequencySlope</t>
  </si>
  <si>
    <t>%Pn/Hz</t>
  </si>
  <si>
    <t>the percentage of power derate leading  higher frequency 
German Standard slope=1/(s*fn)</t>
  </si>
  <si>
    <t>OverfrequencyResponseDelay</t>
  </si>
  <si>
    <t xml:space="preserve">waiting time for power derate leading by higher frequency </t>
  </si>
  <si>
    <t>OverfrequencyReloadDelay</t>
  </si>
  <si>
    <t xml:space="preserve">waiting time for power reload leading by higher frequency </t>
  </si>
  <si>
    <t>OverfrequencyReloadStart</t>
  </si>
  <si>
    <t xml:space="preserve">reload frequency for power reload leading by higher frequency  </t>
  </si>
  <si>
    <t>OverfrequencyReloadSpeed</t>
  </si>
  <si>
    <t xml:space="preserve">the percentage of power reload rate leading by higher frequency </t>
  </si>
  <si>
    <t>UnderfrequencyStart</t>
  </si>
  <si>
    <t>the Starting point of power derate leading by lower frequency</t>
  </si>
  <si>
    <t>UnderfrequencyEnd</t>
  </si>
  <si>
    <t>The ending point of power derate leading by lower frequency</t>
  </si>
  <si>
    <t>UnderfrequencySlope</t>
  </si>
  <si>
    <t>the percentage of power derate leading  lower frequency 
German Standard slope=1/(s*fn)</t>
  </si>
  <si>
    <t>UnderfrequencyResponseDelay</t>
  </si>
  <si>
    <t xml:space="preserve">waiting time for power derate leading by lower frequency </t>
  </si>
  <si>
    <t>UnderfrequencyReloadDelay</t>
  </si>
  <si>
    <t xml:space="preserve">waiting time for power reload leading by lower frequency </t>
  </si>
  <si>
    <t>UnderfrequencyReloadStart</t>
  </si>
  <si>
    <t xml:space="preserve">reload frequency for power reload leading by lower frequency  </t>
  </si>
  <si>
    <t>UnderfrequencyReloadSpeed</t>
  </si>
  <si>
    <t xml:space="preserve">the percentage of power reload rate leading by lower frequency </t>
  </si>
  <si>
    <t>FrequencyRecoverMax</t>
  </si>
  <si>
    <t>Highest frequency to exist load reduction.</t>
  </si>
  <si>
    <t>FrequencyRecoverMin</t>
  </si>
  <si>
    <r>
      <rPr>
        <sz val="11"/>
        <color theme="1"/>
        <rFont val="Arial"/>
        <charset val="134"/>
      </rPr>
      <t xml:space="preserve"> lowest frequency to exist load reduction.</t>
    </r>
    <r>
      <rPr>
        <sz val="11"/>
        <color theme="1"/>
        <rFont val="Arial"/>
        <charset val="134"/>
      </rPr>
      <t xml:space="preserve"> </t>
    </r>
  </si>
  <si>
    <t>ESSOverFrequencyStart</t>
  </si>
  <si>
    <t>(Energy storage) Over-frequency derate start frequency</t>
  </si>
  <si>
    <t>ESSOverfrequencyEnd</t>
  </si>
  <si>
    <t>(Energy storage) cut-off frequency for over-frequency derate. Frequency range mode is valid</t>
  </si>
  <si>
    <t>ESSOverFrequencySlope</t>
  </si>
  <si>
    <t>(Energy storage) Over-frequency derate slope percentage. Slope mode is valid
German standard slope=1/(s*fn)</t>
  </si>
  <si>
    <t>ESSOverFrequencyResponseDelay</t>
  </si>
  <si>
    <t>(Energy storage) Over-frequency derate start-up waiting time</t>
  </si>
  <si>
    <t>ESSOverFrequencyReloadDelay</t>
  </si>
  <si>
    <t>(Energy storage) Waiting time before over-frequency reload</t>
  </si>
  <si>
    <t>ESSOverfrequencyReloadStart</t>
  </si>
  <si>
    <t>(Energy storage) Over-frequency derate reloading frequency. It takes effect when over-frequency reload is prohibited.</t>
  </si>
  <si>
    <t>ESSOverFrequencyReloadSpeed</t>
  </si>
  <si>
    <t>(Energy storage) Over-frequency reload rate percentage</t>
  </si>
  <si>
    <t>ESSUnderFrequencyStart</t>
  </si>
  <si>
    <t>(Energy storage) Under-frequency derate start frequency</t>
  </si>
  <si>
    <t>ESSUnderfrequencyEnd</t>
  </si>
  <si>
    <t>(Energy storage) cut-off frequency of under-frequency derate. Frequency range mode is valid</t>
  </si>
  <si>
    <t>ESSUnderFrequencySlope</t>
  </si>
  <si>
    <t>(Energy storage) Under-frequency derate slope percentage. Slope mode is valid</t>
  </si>
  <si>
    <t>ESSUnderFrequencyResponseDelay</t>
  </si>
  <si>
    <t>(Energy storage) Under-frequency derate start-up waiting time</t>
  </si>
  <si>
    <t>ESSUnderFrequencyReloadDelay</t>
  </si>
  <si>
    <t>(Energy storage) waiting time before under-frequency reload</t>
  </si>
  <si>
    <t>ESSUnderfrequencyReloadStart</t>
  </si>
  <si>
    <t>(Energy storage) Under-frequency derate reloading frequency. It takes effect when Under-frequency reload is prohibited.</t>
  </si>
  <si>
    <t>ESSUnderFrequencyReloadSpeed</t>
  </si>
  <si>
    <t>(Energy storage) Percentage of under-frequency reload rate</t>
  </si>
  <si>
    <t>ESSFrequencyRecoverMax</t>
  </si>
  <si>
    <t>(Energy storage) The highest frequency for exiting derate. Over&amp;Under-frequency sharing</t>
  </si>
  <si>
    <t>ESSFrequencyRecoverMin</t>
  </si>
  <si>
    <t>(Energy storage) The lowest frequency for exiting derate. Over&amp;Under-frequency sharing</t>
  </si>
  <si>
    <t>ESSOverFrequencyTransition</t>
  </si>
  <si>
    <t>(Energy storage) Over-frequency derate power crosses the frequency point. It is valid when 0940 Bit6 is enabled.</t>
  </si>
  <si>
    <t>ESSUnderFrequencyTransition</t>
  </si>
  <si>
    <t>(Energy storage) Under-frequency derate power crosses the frequency point. It is valid when 0940 Bit6 is enabled.</t>
  </si>
  <si>
    <t>Reactive power Parameter (0x0980-0x09BF)</t>
  </si>
  <si>
    <t>ReactiveConfig</t>
  </si>
  <si>
    <r>
      <rPr>
        <sz val="11"/>
        <color theme="1"/>
        <rFont val="Arial"/>
        <charset val="134"/>
      </rPr>
      <t>Bit0</t>
    </r>
    <r>
      <rPr>
        <sz val="11"/>
        <color theme="1"/>
        <rFont val="宋体"/>
        <charset val="134"/>
      </rPr>
      <t>：</t>
    </r>
    <r>
      <rPr>
        <sz val="11"/>
        <color theme="1"/>
        <rFont val="Arial"/>
        <charset val="134"/>
      </rPr>
      <t>enable reactive power</t>
    </r>
    <r>
      <rPr>
        <sz val="11"/>
        <color theme="1"/>
        <rFont val="Arial"/>
        <charset val="134"/>
      </rPr>
      <t xml:space="preserve">
</t>
    </r>
    <r>
      <rPr>
        <sz val="11"/>
        <color theme="1"/>
        <rFont val="Arial"/>
        <charset val="134"/>
      </rPr>
      <t>Bit1-3</t>
    </r>
    <r>
      <rPr>
        <sz val="11"/>
        <color theme="1"/>
        <rFont val="宋体"/>
        <charset val="134"/>
      </rPr>
      <t>：</t>
    </r>
    <r>
      <rPr>
        <sz val="11"/>
        <color theme="1"/>
        <rFont val="Arial"/>
        <charset val="134"/>
      </rPr>
      <t>reactive power mode</t>
    </r>
    <r>
      <rPr>
        <sz val="11"/>
        <color theme="1"/>
        <rFont val="Arial"/>
        <charset val="134"/>
      </rPr>
      <t xml:space="preserve">
</t>
    </r>
    <r>
      <rPr>
        <sz val="11"/>
        <color theme="1"/>
        <rFont val="Arial"/>
        <charset val="134"/>
      </rPr>
      <t>Bit8</t>
    </r>
    <r>
      <rPr>
        <sz val="11"/>
        <color theme="1"/>
        <rFont val="宋体"/>
        <charset val="134"/>
      </rPr>
      <t>：</t>
    </r>
    <r>
      <rPr>
        <sz val="11"/>
        <color theme="1"/>
        <rFont val="Arial"/>
        <charset val="134"/>
      </rPr>
      <t>enable, reactive mode 3 (voltage mode )</t>
    </r>
  </si>
  <si>
    <t>PowerFactor</t>
  </si>
  <si>
    <t>power factor, by using reactive mode 1 to calculate Tanphi</t>
  </si>
  <si>
    <t>FixedReactivePercentage</t>
  </si>
  <si>
    <t xml:space="preserve">fixed percentage pf reactive power, calculate the reactive power by using reactive mode 2 </t>
  </si>
  <si>
    <t>ReactiveCos1</t>
  </si>
  <si>
    <r>
      <rPr>
        <sz val="11"/>
        <color theme="1"/>
        <rFont val="Arial"/>
        <charset val="134"/>
      </rPr>
      <t>For reactive mode 3</t>
    </r>
    <r>
      <rPr>
        <sz val="11"/>
        <color theme="1"/>
        <rFont val="宋体"/>
        <charset val="134"/>
      </rPr>
      <t>，</t>
    </r>
    <r>
      <rPr>
        <sz val="11"/>
        <color theme="1"/>
        <rFont val="Arial"/>
        <charset val="134"/>
      </rPr>
      <t xml:space="preserve">the 1st point power factor </t>
    </r>
  </si>
  <si>
    <t>ReactivedynamicValue1</t>
  </si>
  <si>
    <t>For reactive mode 3, the 1st point power percentage</t>
  </si>
  <si>
    <t>ReactiveCos2</t>
  </si>
  <si>
    <r>
      <rPr>
        <sz val="11"/>
        <color theme="1"/>
        <rFont val="Arial"/>
        <charset val="134"/>
      </rPr>
      <t>For reactive mode 3</t>
    </r>
    <r>
      <rPr>
        <sz val="11"/>
        <color theme="1"/>
        <rFont val="宋体"/>
        <charset val="134"/>
      </rPr>
      <t>，</t>
    </r>
    <r>
      <rPr>
        <sz val="11"/>
        <color theme="1"/>
        <rFont val="Arial"/>
        <charset val="134"/>
      </rPr>
      <t xml:space="preserve">the 2nd point power factor </t>
    </r>
  </si>
  <si>
    <t>ReactivedynamicValue2</t>
  </si>
  <si>
    <t>For reactive mode 3, the 2nd point power percentage</t>
  </si>
  <si>
    <t>ReactiveCos3</t>
  </si>
  <si>
    <r>
      <rPr>
        <sz val="11"/>
        <color theme="1"/>
        <rFont val="Arial"/>
        <charset val="134"/>
      </rPr>
      <t>For reactive mode 3</t>
    </r>
    <r>
      <rPr>
        <sz val="11"/>
        <color theme="1"/>
        <rFont val="宋体"/>
        <charset val="134"/>
      </rPr>
      <t>，</t>
    </r>
    <r>
      <rPr>
        <sz val="11"/>
        <color theme="1"/>
        <rFont val="Arial"/>
        <charset val="134"/>
      </rPr>
      <t xml:space="preserve">the 3rd point power factor </t>
    </r>
  </si>
  <si>
    <t>ReactivedynamicValue3</t>
  </si>
  <si>
    <t>For reactive mode 3, the 3rd point power percentage</t>
  </si>
  <si>
    <t>ReactiveCos4</t>
  </si>
  <si>
    <r>
      <rPr>
        <sz val="11"/>
        <color theme="1"/>
        <rFont val="Arial"/>
        <charset val="134"/>
      </rPr>
      <t>For reactive mode 3</t>
    </r>
    <r>
      <rPr>
        <sz val="11"/>
        <color theme="1"/>
        <rFont val="宋体"/>
        <charset val="134"/>
      </rPr>
      <t>，</t>
    </r>
    <r>
      <rPr>
        <sz val="11"/>
        <color theme="1"/>
        <rFont val="Arial"/>
        <charset val="134"/>
      </rPr>
      <t xml:space="preserve">the 4th point power factor </t>
    </r>
  </si>
  <si>
    <t>ReactivedynamicValue4</t>
  </si>
  <si>
    <t>For reactive mode 3, the 4th point power percentage</t>
  </si>
  <si>
    <t>LockinV</t>
  </si>
  <si>
    <r>
      <rPr>
        <sz val="11"/>
        <color theme="1"/>
        <rFont val="Arial"/>
        <charset val="134"/>
      </rPr>
      <t>For reactive mode 3</t>
    </r>
    <r>
      <rPr>
        <sz val="11"/>
        <color theme="1"/>
        <rFont val="宋体"/>
        <charset val="134"/>
      </rPr>
      <t>，</t>
    </r>
    <r>
      <rPr>
        <sz val="11"/>
        <color theme="1"/>
        <rFont val="Arial"/>
        <charset val="134"/>
      </rPr>
      <t xml:space="preserve">the lochinV voltage percentage </t>
    </r>
  </si>
  <si>
    <t>LockoutV</t>
  </si>
  <si>
    <r>
      <rPr>
        <sz val="11"/>
        <color theme="1"/>
        <rFont val="Arial"/>
        <charset val="134"/>
      </rPr>
      <t>For reactive mode 3</t>
    </r>
    <r>
      <rPr>
        <sz val="11"/>
        <color theme="1"/>
        <rFont val="宋体"/>
        <charset val="134"/>
      </rPr>
      <t>，</t>
    </r>
    <r>
      <rPr>
        <sz val="11"/>
        <color theme="1"/>
        <rFont val="Arial"/>
        <charset val="134"/>
      </rPr>
      <t xml:space="preserve">the lochoutV voltage percentage </t>
    </r>
  </si>
  <si>
    <t>HighVoltStartValue4</t>
  </si>
  <si>
    <t xml:space="preserve">For reactive mode 4, the percentage of higher voltage start up point </t>
  </si>
  <si>
    <t>HighVoltEndValue4</t>
  </si>
  <si>
    <t xml:space="preserve">For Reactive mode 4, the percentage of higher voltage ending point </t>
  </si>
  <si>
    <t>LowVoltStartValue4</t>
  </si>
  <si>
    <t>for reactive mode 4 ,the percentage of lower voltage start up point</t>
  </si>
  <si>
    <t>LowVoltEndValue4</t>
  </si>
  <si>
    <t>For reactive mode 4, the percentage  of lower voltage ending point</t>
  </si>
  <si>
    <t>LockinPower4</t>
  </si>
  <si>
    <r>
      <rPr>
        <sz val="11"/>
        <color theme="1"/>
        <rFont val="Arial"/>
        <charset val="134"/>
      </rPr>
      <t xml:space="preserve">For reactive mode 4 </t>
    </r>
    <r>
      <rPr>
        <sz val="11"/>
        <color theme="1"/>
        <rFont val="宋体"/>
        <charset val="134"/>
      </rPr>
      <t>，</t>
    </r>
    <r>
      <rPr>
        <sz val="11"/>
        <color theme="1"/>
        <rFont val="Arial"/>
        <charset val="134"/>
      </rPr>
      <t>Lockin</t>
    </r>
    <r>
      <rPr>
        <sz val="11"/>
        <color theme="1"/>
        <rFont val="Arial"/>
        <charset val="134"/>
      </rPr>
      <t xml:space="preserve">power percentage </t>
    </r>
  </si>
  <si>
    <t>LockoutPower4</t>
  </si>
  <si>
    <r>
      <rPr>
        <sz val="11"/>
        <color theme="1"/>
        <rFont val="Arial"/>
        <charset val="134"/>
      </rPr>
      <t>For Reactive mode 4</t>
    </r>
    <r>
      <rPr>
        <sz val="11"/>
        <color theme="1"/>
        <rFont val="宋体"/>
        <charset val="134"/>
      </rPr>
      <t>，</t>
    </r>
    <r>
      <rPr>
        <sz val="11"/>
        <color theme="1"/>
        <rFont val="Arial"/>
        <charset val="134"/>
      </rPr>
      <t>Lockout</t>
    </r>
    <r>
      <rPr>
        <sz val="11"/>
        <color theme="1"/>
        <rFont val="Arial"/>
        <charset val="134"/>
      </rPr>
      <t xml:space="preserve"> power percentage </t>
    </r>
  </si>
  <si>
    <t>MaxLeadingReactivePower4</t>
  </si>
  <si>
    <t>%Pn</t>
  </si>
  <si>
    <t>for Reactive mode 4 , The max reactive power percentage</t>
  </si>
  <si>
    <t>ReactiveResponseWaitTime4</t>
  </si>
  <si>
    <t>For Reactive mode 4, waiting time for reactive power response</t>
  </si>
  <si>
    <t>ReactivePowerOffset4</t>
  </si>
  <si>
    <t>%Qmax</t>
  </si>
  <si>
    <t xml:space="preserve">For Reactive mode4, reactive power offset value </t>
  </si>
  <si>
    <t>ReactivePowerStart4</t>
  </si>
  <si>
    <t>For reactive mode 4, the percentage of reactive power (higher voltage start point)</t>
  </si>
  <si>
    <t>HighVoltStartValue5</t>
  </si>
  <si>
    <t xml:space="preserve">For reactive mode 5, the percentage of higher voltage start up point </t>
  </si>
  <si>
    <t>HighVoltEndValue5</t>
  </si>
  <si>
    <t xml:space="preserve">For Reactive mode 5, the percentage of higher voltage ending point </t>
  </si>
  <si>
    <t>LowVoltStartValue5</t>
  </si>
  <si>
    <t>for reactive mode 5 ,the percentage of lower voltage start up point</t>
  </si>
  <si>
    <t>LowVoltEndValue5</t>
  </si>
  <si>
    <t>For reactive mode 5, the percentage  of lower voltage ending point</t>
  </si>
  <si>
    <t>LockinPower5</t>
  </si>
  <si>
    <r>
      <rPr>
        <sz val="11"/>
        <color theme="1"/>
        <rFont val="Arial"/>
        <charset val="134"/>
      </rPr>
      <t xml:space="preserve">For reactive mode 5 </t>
    </r>
    <r>
      <rPr>
        <sz val="11"/>
        <color theme="1"/>
        <rFont val="宋体"/>
        <charset val="134"/>
      </rPr>
      <t>，</t>
    </r>
    <r>
      <rPr>
        <sz val="11"/>
        <color theme="1"/>
        <rFont val="Arial"/>
        <charset val="134"/>
      </rPr>
      <t xml:space="preserve">Lockinpower percentage </t>
    </r>
  </si>
  <si>
    <t>LockoutPower5</t>
  </si>
  <si>
    <r>
      <rPr>
        <sz val="11"/>
        <color theme="1"/>
        <rFont val="Arial"/>
        <charset val="134"/>
      </rPr>
      <t>For Reactive mode 5</t>
    </r>
    <r>
      <rPr>
        <sz val="11"/>
        <color theme="1"/>
        <rFont val="宋体"/>
        <charset val="134"/>
      </rPr>
      <t>，</t>
    </r>
    <r>
      <rPr>
        <sz val="11"/>
        <color theme="1"/>
        <rFont val="Arial"/>
        <charset val="134"/>
      </rPr>
      <t xml:space="preserve">Lockout power percentage </t>
    </r>
  </si>
  <si>
    <t>MaxReactivePower5</t>
  </si>
  <si>
    <t>for Reactive mode 5 , The max reactive power percentage</t>
  </si>
  <si>
    <t>ReactiveResponseWaitTime5</t>
  </si>
  <si>
    <t>For Reactive mode 5, waiting time for reactive power response</t>
  </si>
  <si>
    <t>PhaseType</t>
  </si>
  <si>
    <r>
      <rPr>
        <sz val="11"/>
        <color theme="1"/>
        <rFont val="Arial"/>
        <charset val="134"/>
      </rPr>
      <t xml:space="preserve">For Reactive mode 6 </t>
    </r>
    <r>
      <rPr>
        <sz val="11"/>
        <color theme="1"/>
        <rFont val="宋体"/>
        <charset val="134"/>
      </rPr>
      <t>，</t>
    </r>
    <r>
      <rPr>
        <sz val="11"/>
        <color theme="1"/>
        <rFont val="Arial"/>
        <charset val="134"/>
      </rPr>
      <t>phase type
0</t>
    </r>
    <r>
      <rPr>
        <sz val="11"/>
        <color theme="1"/>
        <rFont val="宋体"/>
        <charset val="134"/>
      </rPr>
      <t>：</t>
    </r>
    <r>
      <rPr>
        <sz val="11"/>
        <color theme="1"/>
        <rFont val="Arial"/>
        <charset val="134"/>
      </rPr>
      <t>no Reactive power 
1</t>
    </r>
    <r>
      <rPr>
        <sz val="11"/>
        <color theme="1"/>
        <rFont val="宋体"/>
        <charset val="134"/>
      </rPr>
      <t>：</t>
    </r>
    <r>
      <rPr>
        <sz val="11"/>
        <color theme="1"/>
        <rFont val="Arial"/>
        <charset val="134"/>
      </rPr>
      <t>lagging 
2</t>
    </r>
    <r>
      <rPr>
        <sz val="11"/>
        <color theme="1"/>
        <rFont val="宋体"/>
        <charset val="134"/>
      </rPr>
      <t>：</t>
    </r>
    <r>
      <rPr>
        <sz val="11"/>
        <color theme="1"/>
        <rFont val="Arial"/>
        <charset val="134"/>
      </rPr>
      <t xml:space="preserve">leading </t>
    </r>
  </si>
  <si>
    <t>ReactiveResponsePeriod</t>
  </si>
  <si>
    <r>
      <rPr>
        <sz val="11"/>
        <color theme="1"/>
        <rFont val="Arial"/>
        <charset val="134"/>
      </rPr>
      <t xml:space="preserve">for reactive mode </t>
    </r>
    <r>
      <rPr>
        <sz val="11"/>
        <color theme="1"/>
        <rFont val="宋体"/>
        <charset val="134"/>
      </rPr>
      <t>（</t>
    </r>
    <r>
      <rPr>
        <sz val="11"/>
        <color theme="1"/>
        <rFont val="Arial"/>
        <charset val="134"/>
      </rPr>
      <t>1</t>
    </r>
    <r>
      <rPr>
        <sz val="11"/>
        <color theme="1"/>
        <rFont val="宋体"/>
        <charset val="134"/>
      </rPr>
      <t>、</t>
    </r>
    <r>
      <rPr>
        <sz val="11"/>
        <color theme="1"/>
        <rFont val="Arial"/>
        <charset val="134"/>
      </rPr>
      <t>2</t>
    </r>
    <r>
      <rPr>
        <sz val="11"/>
        <color theme="1"/>
        <rFont val="宋体"/>
        <charset val="134"/>
      </rPr>
      <t>、</t>
    </r>
    <r>
      <rPr>
        <sz val="11"/>
        <color theme="1"/>
        <rFont val="Arial"/>
        <charset val="134"/>
      </rPr>
      <t>3</t>
    </r>
    <r>
      <rPr>
        <sz val="11"/>
        <color theme="1"/>
        <rFont val="宋体"/>
        <charset val="134"/>
      </rPr>
      <t>、</t>
    </r>
    <r>
      <rPr>
        <sz val="11"/>
        <color theme="1"/>
        <rFont val="Arial"/>
        <charset val="134"/>
      </rPr>
      <t>4</t>
    </r>
    <r>
      <rPr>
        <sz val="11"/>
        <color theme="1"/>
        <rFont val="宋体"/>
        <charset val="134"/>
      </rPr>
      <t>、</t>
    </r>
    <r>
      <rPr>
        <sz val="11"/>
        <color theme="1"/>
        <rFont val="Arial"/>
        <charset val="134"/>
      </rPr>
      <t>5</t>
    </r>
    <r>
      <rPr>
        <sz val="11"/>
        <color theme="1"/>
        <rFont val="宋体"/>
        <charset val="134"/>
      </rPr>
      <t>、</t>
    </r>
    <r>
      <rPr>
        <sz val="11"/>
        <color theme="1"/>
        <rFont val="Arial"/>
        <charset val="134"/>
      </rPr>
      <t>6</t>
    </r>
    <r>
      <rPr>
        <sz val="11"/>
        <color theme="1"/>
        <rFont val="宋体"/>
        <charset val="134"/>
      </rPr>
      <t>）</t>
    </r>
    <r>
      <rPr>
        <sz val="11"/>
        <color theme="1"/>
        <rFont val="Arial"/>
        <charset val="134"/>
      </rPr>
      <t>adjust the time period for reactive power mode</t>
    </r>
  </si>
  <si>
    <t>MaxLaggingReactivePower4</t>
  </si>
  <si>
    <t>Reactive power mode four, the maximum lagging reactive power percentage</t>
  </si>
  <si>
    <t>Voltage ride through Parameter (0x09C0-0x09FF)</t>
  </si>
  <si>
    <t>VRTConfig</t>
  </si>
  <si>
    <r>
      <rPr>
        <sz val="11"/>
        <color theme="1"/>
        <rFont val="Arial"/>
        <charset val="134"/>
      </rPr>
      <t>Bit0</t>
    </r>
    <r>
      <rPr>
        <sz val="11"/>
        <color theme="1"/>
        <rFont val="宋体"/>
        <charset val="134"/>
      </rPr>
      <t>：</t>
    </r>
    <r>
      <rPr>
        <sz val="11"/>
        <color theme="1"/>
        <rFont val="Arial"/>
        <charset val="134"/>
      </rPr>
      <t>LVRT enable bit</t>
    </r>
    <r>
      <rPr>
        <sz val="11"/>
        <color theme="1"/>
        <rFont val="Arial"/>
        <charset val="134"/>
      </rPr>
      <t xml:space="preserve">
</t>
    </r>
    <r>
      <rPr>
        <sz val="11"/>
        <color theme="1"/>
        <rFont val="Arial"/>
        <charset val="134"/>
      </rPr>
      <t>Bit1</t>
    </r>
    <r>
      <rPr>
        <sz val="11"/>
        <color theme="1"/>
        <rFont val="宋体"/>
        <charset val="134"/>
      </rPr>
      <t>：</t>
    </r>
    <r>
      <rPr>
        <sz val="11"/>
        <color theme="1"/>
        <rFont val="Arial"/>
        <charset val="134"/>
      </rPr>
      <t xml:space="preserve">OVRT enable bit </t>
    </r>
    <r>
      <rPr>
        <sz val="11"/>
        <color theme="1"/>
        <rFont val="Arial"/>
        <charset val="134"/>
      </rPr>
      <t xml:space="preserve">
</t>
    </r>
    <r>
      <rPr>
        <sz val="11"/>
        <color theme="1"/>
        <rFont val="Arial"/>
        <charset val="134"/>
      </rPr>
      <t>Bit2</t>
    </r>
    <r>
      <rPr>
        <sz val="11"/>
        <color theme="1"/>
        <rFont val="宋体"/>
        <charset val="134"/>
      </rPr>
      <t>：</t>
    </r>
    <r>
      <rPr>
        <sz val="11"/>
        <color theme="1"/>
        <rFont val="Arial"/>
        <charset val="134"/>
      </rPr>
      <t xml:space="preserve">0 </t>
    </r>
    <r>
      <rPr>
        <sz val="11"/>
        <color theme="1"/>
        <rFont val="Arial"/>
        <charset val="134"/>
      </rPr>
      <t>current mode enable bot</t>
    </r>
    <r>
      <rPr>
        <sz val="11"/>
        <color theme="1"/>
        <rFont val="Arial"/>
        <charset val="134"/>
      </rPr>
      <t xml:space="preserve">
</t>
    </r>
    <r>
      <rPr>
        <sz val="11"/>
        <color theme="1"/>
        <rFont val="Arial"/>
        <charset val="134"/>
      </rPr>
      <t>BIt3</t>
    </r>
    <r>
      <rPr>
        <sz val="11"/>
        <color theme="1"/>
        <rFont val="宋体"/>
        <charset val="134"/>
      </rPr>
      <t>：</t>
    </r>
    <r>
      <rPr>
        <sz val="11"/>
        <color theme="1"/>
        <rFont val="Arial"/>
        <charset val="134"/>
      </rPr>
      <t>Keep reactive current before VRT</t>
    </r>
    <r>
      <rPr>
        <sz val="11"/>
        <color theme="1"/>
        <rFont val="Arial"/>
        <charset val="134"/>
      </rPr>
      <t xml:space="preserve">
</t>
    </r>
    <r>
      <rPr>
        <sz val="11"/>
        <color theme="1"/>
        <rFont val="Arial"/>
        <charset val="134"/>
      </rPr>
      <t>Bit8-11</t>
    </r>
    <r>
      <rPr>
        <sz val="11"/>
        <color theme="1"/>
        <rFont val="宋体"/>
        <charset val="134"/>
      </rPr>
      <t>：</t>
    </r>
    <r>
      <rPr>
        <sz val="11"/>
        <color theme="1"/>
        <rFont val="Arial"/>
        <charset val="134"/>
      </rPr>
      <t>VRT current calculation Mode</t>
    </r>
  </si>
  <si>
    <t>LvrtInVolt</t>
  </si>
  <si>
    <t>The Voltage percentage (start point,LVRT)</t>
  </si>
  <si>
    <t>LvrtFirstPointVolt</t>
  </si>
  <si>
    <t>the voltage percentage  (1st point, LVRT)</t>
  </si>
  <si>
    <t>LvrtFirstPointTime</t>
  </si>
  <si>
    <t>Time for 1st point ,LVRT</t>
  </si>
  <si>
    <t>LvrtSecondPointVolt</t>
  </si>
  <si>
    <t>the voltage percentage  (2ND point, LVRT)</t>
  </si>
  <si>
    <t>LvrtSecondPointTime</t>
  </si>
  <si>
    <t>Time for 2nd point ,LVRT</t>
  </si>
  <si>
    <t>LvrtThirdPointVolt</t>
  </si>
  <si>
    <t>the voltage percentage  (3rd point, LVRT)</t>
  </si>
  <si>
    <t>LvrtThirdPointTime</t>
  </si>
  <si>
    <t>Time for 3rd point ,LVRT</t>
  </si>
  <si>
    <t>LvrtFourthPointVolt</t>
  </si>
  <si>
    <t>the voltage percentage  (4th point, LVRT)</t>
  </si>
  <si>
    <t>LvrtFourthPointTime</t>
  </si>
  <si>
    <t>Time for 4th point ,LVRT</t>
  </si>
  <si>
    <t>LvrtReactiveCurrentCoefficientK</t>
  </si>
  <si>
    <r>
      <rPr>
        <sz val="11"/>
        <color theme="1"/>
        <rFont val="Arial"/>
        <charset val="134"/>
      </rPr>
      <t>Reactive Current Coefficient (K</t>
    </r>
    <r>
      <rPr>
        <sz val="11"/>
        <color theme="1"/>
        <rFont val="宋体"/>
        <charset val="134"/>
      </rPr>
      <t>），</t>
    </r>
    <r>
      <rPr>
        <sz val="11"/>
        <color theme="1"/>
        <rFont val="Arial"/>
        <charset val="134"/>
      </rPr>
      <t>LVRT</t>
    </r>
  </si>
  <si>
    <t>LvrtWaitingTimeAfterVoltageRecovery</t>
  </si>
  <si>
    <t>Waiting time after LVRT Recovery</t>
  </si>
  <si>
    <t>LvrtPowerBackRate</t>
  </si>
  <si>
    <t>Power reload rate  (back from LVRT)</t>
  </si>
  <si>
    <t>OvrtInVlot</t>
  </si>
  <si>
    <t>The Voltage percentage (start point,OVRT)</t>
  </si>
  <si>
    <t>OvrtFirstPointVolt</t>
  </si>
  <si>
    <t>the voltage percentage  (1st point, OVRT)</t>
  </si>
  <si>
    <t>OvrtFirstPointTime</t>
  </si>
  <si>
    <t>Time for 1st point ,OVRT</t>
  </si>
  <si>
    <t>OvrtSecondPointVolt</t>
  </si>
  <si>
    <t>the voltage percentage  (2ND point, OVRT)</t>
  </si>
  <si>
    <t>OvrtSecondPointTime</t>
  </si>
  <si>
    <t>Time for 2nd point ,OVRT</t>
  </si>
  <si>
    <t>OvrtThirdPointVolt</t>
  </si>
  <si>
    <t>the voltage percentage  (3rd point, OVRT)</t>
  </si>
  <si>
    <t>OvrtThirdPointTime</t>
  </si>
  <si>
    <t>Time for 3rd point ,OVRT</t>
  </si>
  <si>
    <t>OvrtFourthPointVolt</t>
  </si>
  <si>
    <t>the voltage percentage  (4th point, OVRT)</t>
  </si>
  <si>
    <t>OvrtFourthPointTime</t>
  </si>
  <si>
    <t>Time for 4th point ,OVRT</t>
  </si>
  <si>
    <t>OvrtReactiveCurrentCoefficientK</t>
  </si>
  <si>
    <r>
      <rPr>
        <sz val="11"/>
        <color theme="1"/>
        <rFont val="Arial"/>
        <charset val="134"/>
      </rPr>
      <t>Reactive Current Coefficient (K</t>
    </r>
    <r>
      <rPr>
        <sz val="11"/>
        <color theme="1"/>
        <rFont val="宋体"/>
        <charset val="134"/>
      </rPr>
      <t>），</t>
    </r>
    <r>
      <rPr>
        <sz val="11"/>
        <color theme="1"/>
        <rFont val="Arial"/>
        <charset val="134"/>
      </rPr>
      <t>OVRT</t>
    </r>
  </si>
  <si>
    <t>OvrtWaitingTimeAfterVoltageRecovery</t>
  </si>
  <si>
    <t>Waiting time after OVRT Recovery</t>
  </si>
  <si>
    <t>OvrtPowerBackRate</t>
  </si>
  <si>
    <t>Power reload rate  (back from OVRT)</t>
  </si>
  <si>
    <t>ZeroCurrentModeInLowVolt</t>
  </si>
  <si>
    <t>the percentage to low voltage mode from  zero current mode</t>
  </si>
  <si>
    <t>ZeroCurrentModeInHighVolt</t>
  </si>
  <si>
    <t>the percentage to high voltage mode from zero current mode</t>
  </si>
  <si>
    <t>LvrtOutVolt</t>
  </si>
  <si>
    <t>the voltage percentage for LVRT EXIST</t>
  </si>
  <si>
    <t>LvrtIqVoltStart</t>
  </si>
  <si>
    <t>The starting point, voltage percentage for  reactive current calculation(LVRT)</t>
  </si>
  <si>
    <t>OvrtOutVolt</t>
  </si>
  <si>
    <t>the voltage percentage for OVRT EXIST</t>
  </si>
  <si>
    <t>OvrtIqVoltStart</t>
  </si>
  <si>
    <t>The starting point, voltage percentage for  reactive current calculation(0VRT)</t>
  </si>
  <si>
    <r>
      <rPr>
        <sz val="11"/>
        <color theme="1"/>
        <rFont val="Arial"/>
        <charset val="134"/>
      </rPr>
      <t>islanding</t>
    </r>
    <r>
      <rPr>
        <sz val="11"/>
        <color theme="1"/>
        <rFont val="宋体"/>
        <charset val="134"/>
      </rPr>
      <t>、</t>
    </r>
    <r>
      <rPr>
        <sz val="11"/>
        <color theme="1"/>
        <rFont val="Arial"/>
        <charset val="134"/>
      </rPr>
      <t>GFCI</t>
    </r>
    <r>
      <rPr>
        <sz val="11"/>
        <color theme="1"/>
        <rFont val="宋体"/>
        <charset val="134"/>
      </rPr>
      <t>、</t>
    </r>
    <r>
      <rPr>
        <sz val="11"/>
        <color theme="1"/>
        <rFont val="Arial"/>
        <charset val="134"/>
      </rPr>
      <t>ISO Parameter (0x0A00-0x0A3F)</t>
    </r>
  </si>
  <si>
    <t>IslandConfig</t>
  </si>
  <si>
    <r>
      <rPr>
        <sz val="11"/>
        <color theme="1"/>
        <rFont val="Arial"/>
        <charset val="134"/>
      </rPr>
      <t>Bit0</t>
    </r>
    <r>
      <rPr>
        <sz val="11"/>
        <color theme="1"/>
        <rFont val="宋体"/>
        <charset val="134"/>
      </rPr>
      <t>：</t>
    </r>
    <r>
      <rPr>
        <sz val="11"/>
        <color theme="1"/>
        <rFont val="Arial"/>
        <charset val="134"/>
      </rPr>
      <t>ISLANDING ENABLE BIT</t>
    </r>
  </si>
  <si>
    <t>GFCIConfig</t>
  </si>
  <si>
    <r>
      <rPr>
        <sz val="11"/>
        <color theme="1"/>
        <rFont val="Arial"/>
        <charset val="134"/>
      </rPr>
      <t>Bit0</t>
    </r>
    <r>
      <rPr>
        <sz val="11"/>
        <color theme="1"/>
        <rFont val="宋体"/>
        <charset val="134"/>
      </rPr>
      <t>：</t>
    </r>
    <r>
      <rPr>
        <sz val="11"/>
        <color theme="1"/>
        <rFont val="Arial"/>
        <charset val="134"/>
      </rPr>
      <t>GFCI enable bit</t>
    </r>
  </si>
  <si>
    <t>ISOConfig</t>
  </si>
  <si>
    <r>
      <rPr>
        <sz val="11"/>
        <color theme="1"/>
        <rFont val="Arial"/>
        <charset val="134"/>
      </rPr>
      <t>Bit0</t>
    </r>
    <r>
      <rPr>
        <sz val="11"/>
        <color theme="1"/>
        <rFont val="宋体"/>
        <charset val="134"/>
      </rPr>
      <t>：</t>
    </r>
    <r>
      <rPr>
        <sz val="11"/>
        <color theme="1"/>
        <rFont val="Arial"/>
        <charset val="134"/>
      </rPr>
      <t>Insulation Resistance testing enable bit</t>
    </r>
    <r>
      <rPr>
        <sz val="11"/>
        <color theme="1"/>
        <rFont val="Arial"/>
        <charset val="134"/>
      </rPr>
      <t xml:space="preserve">
</t>
    </r>
    <r>
      <rPr>
        <sz val="11"/>
        <color theme="1"/>
        <rFont val="Arial"/>
        <charset val="134"/>
      </rPr>
      <t>Bit1</t>
    </r>
    <r>
      <rPr>
        <sz val="11"/>
        <color theme="1"/>
        <rFont val="宋体"/>
        <charset val="134"/>
      </rPr>
      <t>：</t>
    </r>
    <r>
      <rPr>
        <sz val="11"/>
        <color theme="1"/>
        <rFont val="Arial"/>
        <charset val="134"/>
      </rPr>
      <t>ground Testing enable bit</t>
    </r>
  </si>
  <si>
    <t>InsulationProtectionValue</t>
  </si>
  <si>
    <t>Insulation resistance Value</t>
  </si>
  <si>
    <t>IsoLeakageCurrentLimit</t>
  </si>
  <si>
    <t>leakage current limit , PV to ground</t>
  </si>
  <si>
    <t>GFCILimit</t>
  </si>
  <si>
    <t>mA/kVA</t>
  </si>
  <si>
    <r>
      <rPr>
        <sz val="11"/>
        <color theme="1"/>
        <rFont val="Arial"/>
        <charset val="134"/>
      </rPr>
      <t>Leakage current limit</t>
    </r>
    <r>
      <rPr>
        <sz val="11"/>
        <color theme="1"/>
        <rFont val="宋体"/>
        <charset val="134"/>
      </rPr>
      <t>（</t>
    </r>
    <r>
      <rPr>
        <sz val="11"/>
        <color theme="1"/>
        <rFont val="Arial"/>
        <charset val="134"/>
      </rPr>
      <t>not to public , can not make change</t>
    </r>
    <r>
      <rPr>
        <sz val="11"/>
        <color theme="1"/>
        <rFont val="宋体"/>
        <charset val="134"/>
      </rPr>
      <t>）</t>
    </r>
  </si>
  <si>
    <t>ARC (0x0A40-0x0A7F)</t>
  </si>
  <si>
    <t>Paranters setting (0x1000-0x17FF)</t>
  </si>
  <si>
    <t>Basic Parameter Configuration (0x1000-0x10FF)</t>
  </si>
  <si>
    <t>AddressMask_Config_Basic1</t>
  </si>
  <si>
    <t>Each Character in this field, will verify the validity of 64 addresses. Bit4 represents the address where the highest bit address of this field plus 1,                                                             0 means invalid; 1 means valid.</t>
  </si>
  <si>
    <t>SysTimeConfig_Year</t>
  </si>
  <si>
    <t>Year</t>
  </si>
  <si>
    <t>System time -year,Actual year=2000+values in Register</t>
  </si>
  <si>
    <t>SysTimeConfig_Month</t>
  </si>
  <si>
    <t>Month</t>
  </si>
  <si>
    <t>System time-Month</t>
  </si>
  <si>
    <t>SysTimeConfig_Date</t>
  </si>
  <si>
    <t>date</t>
  </si>
  <si>
    <t>System time-Date</t>
  </si>
  <si>
    <t>SysTimeConfig_Hour</t>
  </si>
  <si>
    <t>Hour</t>
  </si>
  <si>
    <t>System time -Hour</t>
  </si>
  <si>
    <t>SysTimeConfig_Minute</t>
  </si>
  <si>
    <t>System Time -Minutes</t>
  </si>
  <si>
    <t>SysTimeConfig_Second</t>
  </si>
  <si>
    <t>System Time-Second</t>
  </si>
  <si>
    <t>SysTimeConfig_Control</t>
  </si>
  <si>
    <r>
      <rPr>
        <sz val="11"/>
        <color theme="1"/>
        <rFont val="Arial"/>
        <charset val="134"/>
      </rPr>
      <t>Input value is 1, the value of shadow register in system time will upgrade to the real time. It will return to pervious operation status when you read it.     0x0000</t>
    </r>
    <r>
      <rPr>
        <sz val="11"/>
        <color theme="1"/>
        <rFont val="宋体"/>
        <charset val="134"/>
      </rPr>
      <t>：</t>
    </r>
    <r>
      <rPr>
        <sz val="11"/>
        <color theme="1"/>
        <rFont val="Arial"/>
        <charset val="134"/>
      </rPr>
      <t>success
0x0001</t>
    </r>
    <r>
      <rPr>
        <sz val="11"/>
        <color theme="1"/>
        <rFont val="宋体"/>
        <charset val="134"/>
      </rPr>
      <t>：</t>
    </r>
    <r>
      <rPr>
        <sz val="11"/>
        <color theme="1"/>
        <rFont val="Arial"/>
        <charset val="134"/>
      </rPr>
      <t>Operating
0xFFFB</t>
    </r>
    <r>
      <rPr>
        <sz val="11"/>
        <color theme="1"/>
        <rFont val="宋体"/>
        <charset val="134"/>
      </rPr>
      <t>：</t>
    </r>
    <r>
      <rPr>
        <sz val="11"/>
        <color theme="1"/>
        <rFont val="Arial"/>
        <charset val="134"/>
      </rPr>
      <t>Fail,controller refuse to  response (controller busy or configuration issue</t>
    </r>
    <r>
      <rPr>
        <sz val="11"/>
        <color theme="1"/>
        <rFont val="宋体"/>
        <charset val="134"/>
      </rPr>
      <t>）</t>
    </r>
    <r>
      <rPr>
        <sz val="11"/>
        <color theme="1"/>
        <rFont val="Arial"/>
        <charset val="134"/>
      </rPr>
      <t xml:space="preserve">
0xFFFC</t>
    </r>
    <r>
      <rPr>
        <sz val="11"/>
        <color theme="1"/>
        <rFont val="宋体"/>
        <charset val="134"/>
      </rPr>
      <t>：</t>
    </r>
    <r>
      <rPr>
        <sz val="11"/>
        <color theme="1"/>
        <rFont val="Arial"/>
        <charset val="134"/>
      </rPr>
      <t>Fail ,Controller no response
0xFFFD</t>
    </r>
    <r>
      <rPr>
        <sz val="11"/>
        <color theme="1"/>
        <rFont val="宋体"/>
        <charset val="134"/>
      </rPr>
      <t>：</t>
    </r>
    <r>
      <rPr>
        <sz val="11"/>
        <color theme="1"/>
        <rFont val="Arial"/>
        <charset val="134"/>
      </rPr>
      <t>Fail, Current Function Disable
0xFFFE</t>
    </r>
    <r>
      <rPr>
        <sz val="11"/>
        <color theme="1"/>
        <rFont val="宋体"/>
        <charset val="134"/>
      </rPr>
      <t>：</t>
    </r>
    <r>
      <rPr>
        <sz val="11"/>
        <color theme="1"/>
        <rFont val="Arial"/>
        <charset val="134"/>
      </rPr>
      <t>Fail,Parameter can not be save
0xFFFF</t>
    </r>
    <r>
      <rPr>
        <sz val="11"/>
        <color theme="1"/>
        <rFont val="宋体"/>
        <charset val="134"/>
      </rPr>
      <t>：</t>
    </r>
    <r>
      <rPr>
        <sz val="11"/>
        <color theme="1"/>
        <rFont val="Arial"/>
        <charset val="134"/>
      </rPr>
      <t>Fail Input Parameters incorrect</t>
    </r>
  </si>
  <si>
    <t>RS485Config_Address</t>
  </si>
  <si>
    <t>RS 485 configuration- communication address</t>
  </si>
  <si>
    <t>RS485Config_Baud</t>
  </si>
  <si>
    <r>
      <rPr>
        <sz val="11"/>
        <color theme="1"/>
        <rFont val="Arial"/>
        <charset val="134"/>
      </rPr>
      <t>RS485</t>
    </r>
    <r>
      <rPr>
        <sz val="11"/>
        <color theme="1"/>
        <rFont val="Arial"/>
        <charset val="134"/>
      </rPr>
      <t xml:space="preserve"> </t>
    </r>
    <r>
      <rPr>
        <sz val="11"/>
        <color theme="1"/>
        <rFont val="Arial"/>
        <charset val="134"/>
      </rPr>
      <t>Baud Rate Selection
0</t>
    </r>
    <r>
      <rPr>
        <sz val="11"/>
        <color theme="1"/>
        <rFont val="宋体"/>
        <charset val="134"/>
      </rPr>
      <t>：</t>
    </r>
    <r>
      <rPr>
        <sz val="11"/>
        <color theme="1"/>
        <rFont val="Arial"/>
        <charset val="134"/>
      </rPr>
      <t>4800bps
1</t>
    </r>
    <r>
      <rPr>
        <sz val="11"/>
        <color theme="1"/>
        <rFont val="宋体"/>
        <charset val="134"/>
      </rPr>
      <t>：</t>
    </r>
    <r>
      <rPr>
        <sz val="11"/>
        <color theme="1"/>
        <rFont val="Arial"/>
        <charset val="134"/>
      </rPr>
      <t>9600bps</t>
    </r>
    <r>
      <rPr>
        <sz val="11"/>
        <color theme="1"/>
        <rFont val="宋体"/>
        <charset val="134"/>
      </rPr>
      <t>（</t>
    </r>
    <r>
      <rPr>
        <sz val="11"/>
        <color theme="1"/>
        <rFont val="Arial"/>
        <charset val="134"/>
      </rPr>
      <t>Default</t>
    </r>
    <r>
      <rPr>
        <sz val="11"/>
        <color theme="1"/>
        <rFont val="宋体"/>
        <charset val="134"/>
      </rPr>
      <t>）</t>
    </r>
    <r>
      <rPr>
        <sz val="11"/>
        <color theme="1"/>
        <rFont val="Arial"/>
        <charset val="134"/>
      </rPr>
      <t xml:space="preserve">
2</t>
    </r>
    <r>
      <rPr>
        <sz val="11"/>
        <color theme="1"/>
        <rFont val="宋体"/>
        <charset val="134"/>
      </rPr>
      <t>：</t>
    </r>
    <r>
      <rPr>
        <sz val="11"/>
        <color theme="1"/>
        <rFont val="Arial"/>
        <charset val="134"/>
      </rPr>
      <t>19200bps
3</t>
    </r>
    <r>
      <rPr>
        <sz val="11"/>
        <color theme="1"/>
        <rFont val="宋体"/>
        <charset val="134"/>
      </rPr>
      <t>：</t>
    </r>
    <r>
      <rPr>
        <sz val="11"/>
        <color theme="1"/>
        <rFont val="Arial"/>
        <charset val="134"/>
      </rPr>
      <t>38400bps
4</t>
    </r>
    <r>
      <rPr>
        <sz val="11"/>
        <color theme="1"/>
        <rFont val="宋体"/>
        <charset val="134"/>
      </rPr>
      <t>：</t>
    </r>
    <r>
      <rPr>
        <sz val="11"/>
        <color theme="1"/>
        <rFont val="Arial"/>
        <charset val="134"/>
      </rPr>
      <t>57600bps</t>
    </r>
  </si>
  <si>
    <t>RS485Config_StopBit</t>
  </si>
  <si>
    <r>
      <rPr>
        <sz val="11"/>
        <color theme="1"/>
        <rFont val="Arial"/>
        <charset val="134"/>
      </rPr>
      <t>RS485Stop bit selection</t>
    </r>
    <r>
      <rPr>
        <sz val="11"/>
        <color theme="1"/>
        <rFont val="宋体"/>
        <charset val="134"/>
      </rPr>
      <t>；</t>
    </r>
    <r>
      <rPr>
        <sz val="11"/>
        <color theme="1"/>
        <rFont val="Arial"/>
        <charset val="134"/>
      </rPr>
      <t xml:space="preserve">
0</t>
    </r>
    <r>
      <rPr>
        <sz val="11"/>
        <color theme="1"/>
        <rFont val="宋体"/>
        <charset val="134"/>
      </rPr>
      <t>：</t>
    </r>
    <r>
      <rPr>
        <sz val="11"/>
        <color theme="1"/>
        <rFont val="Arial"/>
        <charset val="134"/>
      </rPr>
      <t>1bit stop bit</t>
    </r>
    <r>
      <rPr>
        <sz val="11"/>
        <color theme="1"/>
        <rFont val="宋体"/>
        <charset val="134"/>
      </rPr>
      <t>（</t>
    </r>
    <r>
      <rPr>
        <sz val="11"/>
        <color theme="1"/>
        <rFont val="Arial"/>
        <charset val="134"/>
      </rPr>
      <t>Default</t>
    </r>
    <r>
      <rPr>
        <sz val="11"/>
        <color theme="1"/>
        <rFont val="宋体"/>
        <charset val="134"/>
      </rPr>
      <t>）</t>
    </r>
    <r>
      <rPr>
        <sz val="11"/>
        <color theme="1"/>
        <rFont val="Arial"/>
        <charset val="134"/>
      </rPr>
      <t xml:space="preserve">
1</t>
    </r>
    <r>
      <rPr>
        <sz val="11"/>
        <color theme="1"/>
        <rFont val="宋体"/>
        <charset val="134"/>
      </rPr>
      <t>：</t>
    </r>
    <r>
      <rPr>
        <sz val="11"/>
        <color theme="1"/>
        <rFont val="Arial"/>
        <charset val="134"/>
      </rPr>
      <t>1.5 bit stop bit
2</t>
    </r>
    <r>
      <rPr>
        <sz val="11"/>
        <color theme="1"/>
        <rFont val="宋体"/>
        <charset val="134"/>
      </rPr>
      <t>：</t>
    </r>
    <r>
      <rPr>
        <sz val="11"/>
        <color theme="1"/>
        <rFont val="Arial"/>
        <charset val="134"/>
      </rPr>
      <t>2bit stop bit</t>
    </r>
  </si>
  <si>
    <t>RS485Config_ParityBit</t>
  </si>
  <si>
    <r>
      <rPr>
        <sz val="11"/>
        <color theme="1"/>
        <rFont val="Arial"/>
        <charset val="134"/>
      </rPr>
      <t>RS485 check bit selection</t>
    </r>
    <r>
      <rPr>
        <sz val="11"/>
        <color theme="1"/>
        <rFont val="宋体"/>
        <charset val="134"/>
      </rPr>
      <t>；</t>
    </r>
    <r>
      <rPr>
        <sz val="11"/>
        <color theme="1"/>
        <rFont val="Arial"/>
        <charset val="134"/>
      </rPr>
      <t xml:space="preserve">
0</t>
    </r>
    <r>
      <rPr>
        <sz val="11"/>
        <color theme="1"/>
        <rFont val="宋体"/>
        <charset val="134"/>
      </rPr>
      <t>：</t>
    </r>
    <r>
      <rPr>
        <sz val="11"/>
        <color theme="1"/>
        <rFont val="Arial"/>
        <charset val="134"/>
      </rPr>
      <t>No Check/None</t>
    </r>
    <r>
      <rPr>
        <sz val="11"/>
        <color theme="1"/>
        <rFont val="宋体"/>
        <charset val="134"/>
      </rPr>
      <t>（</t>
    </r>
    <r>
      <rPr>
        <sz val="11"/>
        <color theme="1"/>
        <rFont val="Arial"/>
        <charset val="134"/>
      </rPr>
      <t>Default</t>
    </r>
    <r>
      <rPr>
        <sz val="11"/>
        <color theme="1"/>
        <rFont val="宋体"/>
        <charset val="134"/>
      </rPr>
      <t>）</t>
    </r>
    <r>
      <rPr>
        <sz val="11"/>
        <color theme="1"/>
        <rFont val="Arial"/>
        <charset val="134"/>
      </rPr>
      <t xml:space="preserve">
1</t>
    </r>
    <r>
      <rPr>
        <sz val="11"/>
        <color theme="1"/>
        <rFont val="宋体"/>
        <charset val="134"/>
      </rPr>
      <t>：</t>
    </r>
    <r>
      <rPr>
        <sz val="11"/>
        <color theme="1"/>
        <rFont val="Arial"/>
        <charset val="134"/>
      </rPr>
      <t>Even
2</t>
    </r>
    <r>
      <rPr>
        <sz val="11"/>
        <color theme="1"/>
        <rFont val="宋体"/>
        <charset val="134"/>
      </rPr>
      <t>：</t>
    </r>
    <r>
      <rPr>
        <sz val="11"/>
        <color theme="1"/>
        <rFont val="Arial"/>
        <charset val="134"/>
      </rPr>
      <t>Odd
3</t>
    </r>
    <r>
      <rPr>
        <sz val="11"/>
        <color theme="1"/>
        <rFont val="宋体"/>
        <charset val="134"/>
      </rPr>
      <t>：</t>
    </r>
    <r>
      <rPr>
        <sz val="11"/>
        <color theme="1"/>
        <rFont val="Arial"/>
        <charset val="134"/>
      </rPr>
      <t>HIgh/Mark
4</t>
    </r>
    <r>
      <rPr>
        <sz val="11"/>
        <color theme="1"/>
        <rFont val="宋体"/>
        <charset val="134"/>
      </rPr>
      <t>：</t>
    </r>
    <r>
      <rPr>
        <sz val="11"/>
        <color theme="1"/>
        <rFont val="Arial"/>
        <charset val="134"/>
      </rPr>
      <t>Low/Space</t>
    </r>
  </si>
  <si>
    <t>RS485Config_Control</t>
  </si>
  <si>
    <t>PV_InputMode_Config</t>
  </si>
  <si>
    <t xml:space="preserve">PV input Mode Selection  0: Parallel Mode 1:Independent mode </t>
  </si>
  <si>
    <t>InputType_Channel0_Config</t>
  </si>
  <si>
    <r>
      <rPr>
        <sz val="11"/>
        <color theme="1"/>
        <rFont val="Arial"/>
        <charset val="134"/>
      </rPr>
      <t xml:space="preserve">0 </t>
    </r>
    <r>
      <rPr>
        <sz val="11"/>
        <color theme="1"/>
        <rFont val="Arial"/>
        <charset val="134"/>
      </rPr>
      <t>Type input channel Selection</t>
    </r>
    <r>
      <rPr>
        <sz val="11"/>
        <color theme="1"/>
        <rFont val="Arial"/>
        <charset val="134"/>
      </rPr>
      <t xml:space="preserve">
</t>
    </r>
    <r>
      <rPr>
        <sz val="11"/>
        <color theme="1"/>
        <rFont val="Arial"/>
        <charset val="134"/>
      </rPr>
      <t>Value "0" mean current input power supply are  not available</t>
    </r>
    <r>
      <rPr>
        <sz val="11"/>
        <color theme="1"/>
        <rFont val="Arial"/>
        <charset val="134"/>
      </rPr>
      <t xml:space="preserve">
</t>
    </r>
    <r>
      <rPr>
        <sz val="11"/>
        <color theme="1"/>
        <rFont val="Arial"/>
        <charset val="134"/>
      </rPr>
      <t>Vale Between "1</t>
    </r>
    <r>
      <rPr>
        <sz val="11"/>
        <color theme="1"/>
        <rFont val="宋体"/>
        <charset val="134"/>
      </rPr>
      <t>～</t>
    </r>
    <r>
      <rPr>
        <sz val="11"/>
        <color theme="1"/>
        <rFont val="Arial"/>
        <charset val="134"/>
      </rPr>
      <t>127" mean current input power supply by PV</t>
    </r>
    <r>
      <rPr>
        <sz val="11"/>
        <color theme="1"/>
        <rFont val="宋体"/>
        <charset val="134"/>
      </rPr>
      <t>；</t>
    </r>
    <r>
      <rPr>
        <sz val="11"/>
        <color theme="1"/>
        <rFont val="Arial"/>
        <charset val="134"/>
      </rPr>
      <t xml:space="preserve">
</t>
    </r>
    <r>
      <rPr>
        <sz val="11"/>
        <color theme="1"/>
        <rFont val="Arial"/>
        <charset val="134"/>
      </rPr>
      <t>Value between "128~255" mean input power supply by battery</t>
    </r>
    <r>
      <rPr>
        <sz val="11"/>
        <color theme="1"/>
        <rFont val="宋体"/>
        <charset val="134"/>
      </rPr>
      <t>；</t>
    </r>
    <r>
      <rPr>
        <sz val="11"/>
        <color theme="1"/>
        <rFont val="Arial"/>
        <charset val="134"/>
      </rPr>
      <t xml:space="preserve">
</t>
    </r>
    <r>
      <rPr>
        <sz val="11"/>
        <color theme="1"/>
        <rFont val="Arial"/>
        <charset val="134"/>
      </rPr>
      <t xml:space="preserve">If we got two or  more than two values , and all values bogger than 0, it mean input power supply by PV &amp; Battery </t>
    </r>
  </si>
  <si>
    <t>InputType_Channel1_Config</t>
  </si>
  <si>
    <t>InputType_Channel2_Config</t>
  </si>
  <si>
    <t>InputType_Channel3_Config</t>
  </si>
  <si>
    <t>InputType_Channel4_Config</t>
  </si>
  <si>
    <t>InputType_Channel5_Config</t>
  </si>
  <si>
    <t>InputType_Channel6_Config</t>
  </si>
  <si>
    <t>InputType_Channel7_Config</t>
  </si>
  <si>
    <t>InputType_Channel8_Config</t>
  </si>
  <si>
    <t>InputType_Channel9_Config</t>
  </si>
  <si>
    <t>InputType_Channel10_Config</t>
  </si>
  <si>
    <t>InputType_Channel11_Config</t>
  </si>
  <si>
    <t>InputType_Channel12_Config</t>
  </si>
  <si>
    <t>InputType_Channel13_Config</t>
  </si>
  <si>
    <t>InputType_Channel14_Config</t>
  </si>
  <si>
    <t>InputType_Channel15_Config</t>
  </si>
  <si>
    <t>InputType_Control</t>
  </si>
  <si>
    <t>SafetyUpdateFromUSB_Control</t>
  </si>
  <si>
    <t>AntiReflux_Control</t>
  </si>
  <si>
    <t>Reflux Power control       input value 0, disable the reflux power     input value 1, power reflux enable with minimum power among the three phase      input value 2, power reflux enable with meaning value</t>
  </si>
  <si>
    <t>AntiReflux_Power</t>
  </si>
  <si>
    <t>Reflux power</t>
  </si>
  <si>
    <t>IVCurveScan_Control</t>
  </si>
  <si>
    <t>IV curve scan control</t>
  </si>
  <si>
    <t>IVCurveScan_Period</t>
  </si>
  <si>
    <t>Iv Curve scan cycle</t>
  </si>
  <si>
    <t>IVCurveScan_Oneshot</t>
  </si>
  <si>
    <r>
      <rPr>
        <sz val="11"/>
        <color theme="1"/>
        <rFont val="Arial"/>
        <charset val="134"/>
      </rPr>
      <t>IV curve scan enable, input value 1, enable the I-V curve one time.  It will return to pervious operation status when you read it.     0x0000</t>
    </r>
    <r>
      <rPr>
        <sz val="11"/>
        <color theme="1"/>
        <rFont val="宋体"/>
        <charset val="134"/>
      </rPr>
      <t>：</t>
    </r>
    <r>
      <rPr>
        <sz val="11"/>
        <color theme="1"/>
        <rFont val="Arial"/>
        <charset val="134"/>
      </rPr>
      <t>success
0x0001</t>
    </r>
    <r>
      <rPr>
        <sz val="11"/>
        <color theme="1"/>
        <rFont val="宋体"/>
        <charset val="134"/>
      </rPr>
      <t>：</t>
    </r>
    <r>
      <rPr>
        <sz val="11"/>
        <color theme="1"/>
        <rFont val="Arial"/>
        <charset val="134"/>
      </rPr>
      <t>Operating
0xFFFB</t>
    </r>
    <r>
      <rPr>
        <sz val="11"/>
        <color theme="1"/>
        <rFont val="宋体"/>
        <charset val="134"/>
      </rPr>
      <t>：</t>
    </r>
    <r>
      <rPr>
        <sz val="11"/>
        <color theme="1"/>
        <rFont val="Arial"/>
        <charset val="134"/>
      </rPr>
      <t>Fail,controller refuse to  response (controller busy or configuration issue</t>
    </r>
    <r>
      <rPr>
        <sz val="11"/>
        <color theme="1"/>
        <rFont val="宋体"/>
        <charset val="134"/>
      </rPr>
      <t>）</t>
    </r>
    <r>
      <rPr>
        <sz val="11"/>
        <color theme="1"/>
        <rFont val="Arial"/>
        <charset val="134"/>
      </rPr>
      <t xml:space="preserve">
0xFFFC</t>
    </r>
    <r>
      <rPr>
        <sz val="11"/>
        <color theme="1"/>
        <rFont val="宋体"/>
        <charset val="134"/>
      </rPr>
      <t>：</t>
    </r>
    <r>
      <rPr>
        <sz val="11"/>
        <color theme="1"/>
        <rFont val="Arial"/>
        <charset val="134"/>
      </rPr>
      <t>Fail ,Controller no response
0xFFFD</t>
    </r>
    <r>
      <rPr>
        <sz val="11"/>
        <color theme="1"/>
        <rFont val="宋体"/>
        <charset val="134"/>
      </rPr>
      <t>：</t>
    </r>
    <r>
      <rPr>
        <sz val="11"/>
        <color theme="1"/>
        <rFont val="Arial"/>
        <charset val="134"/>
      </rPr>
      <t>Fail, Current Function Disable
0xFFFE</t>
    </r>
    <r>
      <rPr>
        <sz val="11"/>
        <color theme="1"/>
        <rFont val="宋体"/>
        <charset val="134"/>
      </rPr>
      <t>：</t>
    </r>
    <r>
      <rPr>
        <sz val="11"/>
        <color theme="1"/>
        <rFont val="Arial"/>
        <charset val="134"/>
      </rPr>
      <t>Fail,Parameter can not be save
0xFFFF</t>
    </r>
    <r>
      <rPr>
        <sz val="11"/>
        <color theme="1"/>
        <rFont val="宋体"/>
        <charset val="134"/>
      </rPr>
      <t>：</t>
    </r>
    <r>
      <rPr>
        <sz val="11"/>
        <color theme="1"/>
        <rFont val="Arial"/>
        <charset val="134"/>
      </rPr>
      <t xml:space="preserve">Fail Input Parameters incorrect </t>
    </r>
  </si>
  <si>
    <t>IVCurveScan_ReadChannel</t>
  </si>
  <si>
    <t xml:space="preserve">Channel for IV curve scan return value. This register used to specify the PV channel corresponding to the return value of the IV curve scan result. </t>
  </si>
  <si>
    <t>EPS_Control</t>
  </si>
  <si>
    <t>Emergency Power supply    1: disable emergency power supply   2 enable emergency power supply ,disable cold start   3enable emergency power supply enable cold start</t>
  </si>
  <si>
    <t>EPS_WaitTime</t>
  </si>
  <si>
    <t>Waiting time for emergency power start (Reverse Function)</t>
  </si>
  <si>
    <t>BatteryActive_Control</t>
  </si>
  <si>
    <t>Battery automatic activation</t>
  </si>
  <si>
    <t>BatteryActive_Oneshot</t>
  </si>
  <si>
    <r>
      <rPr>
        <sz val="11"/>
        <color theme="1"/>
        <rFont val="Arial"/>
        <charset val="134"/>
      </rPr>
      <t>Battery active input value 1, enable the battery active one time.  It will return to pervious operation status when you read it.     0x0000</t>
    </r>
    <r>
      <rPr>
        <sz val="11"/>
        <color theme="1"/>
        <rFont val="宋体"/>
        <charset val="134"/>
      </rPr>
      <t>：</t>
    </r>
    <r>
      <rPr>
        <sz val="11"/>
        <color theme="1"/>
        <rFont val="Arial"/>
        <charset val="134"/>
      </rPr>
      <t>success
0x0001</t>
    </r>
    <r>
      <rPr>
        <sz val="11"/>
        <color theme="1"/>
        <rFont val="宋体"/>
        <charset val="134"/>
      </rPr>
      <t>：</t>
    </r>
    <r>
      <rPr>
        <sz val="11"/>
        <color theme="1"/>
        <rFont val="Arial"/>
        <charset val="134"/>
      </rPr>
      <t>Operating
0xFFFB</t>
    </r>
    <r>
      <rPr>
        <sz val="11"/>
        <color theme="1"/>
        <rFont val="宋体"/>
        <charset val="134"/>
      </rPr>
      <t>：</t>
    </r>
    <r>
      <rPr>
        <sz val="11"/>
        <color theme="1"/>
        <rFont val="Arial"/>
        <charset val="134"/>
      </rPr>
      <t>Fail,controller refuse to  response (controller busy or configuration issue</t>
    </r>
    <r>
      <rPr>
        <sz val="11"/>
        <color theme="1"/>
        <rFont val="宋体"/>
        <charset val="134"/>
      </rPr>
      <t>）</t>
    </r>
    <r>
      <rPr>
        <sz val="11"/>
        <color theme="1"/>
        <rFont val="Arial"/>
        <charset val="134"/>
      </rPr>
      <t xml:space="preserve">
0xFFFC</t>
    </r>
    <r>
      <rPr>
        <sz val="11"/>
        <color theme="1"/>
        <rFont val="宋体"/>
        <charset val="134"/>
      </rPr>
      <t>：</t>
    </r>
    <r>
      <rPr>
        <sz val="11"/>
        <color theme="1"/>
        <rFont val="Arial"/>
        <charset val="134"/>
      </rPr>
      <t>Fail ,Controller no response
0xFFFD</t>
    </r>
    <r>
      <rPr>
        <sz val="11"/>
        <color theme="1"/>
        <rFont val="宋体"/>
        <charset val="134"/>
      </rPr>
      <t>：</t>
    </r>
    <r>
      <rPr>
        <sz val="11"/>
        <color theme="1"/>
        <rFont val="Arial"/>
        <charset val="134"/>
      </rPr>
      <t>Fail, Current Function Disable
0xFFFE</t>
    </r>
    <r>
      <rPr>
        <sz val="11"/>
        <color theme="1"/>
        <rFont val="宋体"/>
        <charset val="134"/>
      </rPr>
      <t>：</t>
    </r>
    <r>
      <rPr>
        <sz val="11"/>
        <color theme="1"/>
        <rFont val="Arial"/>
        <charset val="134"/>
      </rPr>
      <t>Fail,Parameter can not be save
0xFFFF</t>
    </r>
    <r>
      <rPr>
        <sz val="11"/>
        <color theme="1"/>
        <rFont val="宋体"/>
        <charset val="134"/>
      </rPr>
      <t>：</t>
    </r>
    <r>
      <rPr>
        <sz val="11"/>
        <color theme="1"/>
        <rFont val="Arial"/>
        <charset val="134"/>
      </rPr>
      <t xml:space="preserve">Fail Input Parameters incorrect </t>
    </r>
  </si>
  <si>
    <t>CT_Auto_Calibrate</t>
  </si>
  <si>
    <r>
      <rPr>
        <sz val="11"/>
        <color theme="1"/>
        <rFont val="Arial"/>
        <charset val="134"/>
      </rPr>
      <t>CT Calibration(Automatic) input value 1, enable the CT calibration one time.  It will return to pervious operation status when you read it.     0x0000</t>
    </r>
    <r>
      <rPr>
        <sz val="11"/>
        <color theme="1"/>
        <rFont val="宋体"/>
        <charset val="134"/>
      </rPr>
      <t>：</t>
    </r>
    <r>
      <rPr>
        <sz val="11"/>
        <color theme="1"/>
        <rFont val="Arial"/>
        <charset val="134"/>
      </rPr>
      <t>success
0x0001</t>
    </r>
    <r>
      <rPr>
        <sz val="11"/>
        <color theme="1"/>
        <rFont val="宋体"/>
        <charset val="134"/>
      </rPr>
      <t>：</t>
    </r>
    <r>
      <rPr>
        <sz val="11"/>
        <color theme="1"/>
        <rFont val="Arial"/>
        <charset val="134"/>
      </rPr>
      <t>Operating
0xFFFB</t>
    </r>
    <r>
      <rPr>
        <sz val="11"/>
        <color theme="1"/>
        <rFont val="宋体"/>
        <charset val="134"/>
      </rPr>
      <t>：</t>
    </r>
    <r>
      <rPr>
        <sz val="11"/>
        <color theme="1"/>
        <rFont val="Arial"/>
        <charset val="134"/>
      </rPr>
      <t>Fail,controller refuse to  response (controller busy or configuration issue</t>
    </r>
    <r>
      <rPr>
        <sz val="11"/>
        <color theme="1"/>
        <rFont val="宋体"/>
        <charset val="134"/>
      </rPr>
      <t>）</t>
    </r>
    <r>
      <rPr>
        <sz val="11"/>
        <color theme="1"/>
        <rFont val="Arial"/>
        <charset val="134"/>
      </rPr>
      <t xml:space="preserve">
0xFFFC</t>
    </r>
    <r>
      <rPr>
        <sz val="11"/>
        <color theme="1"/>
        <rFont val="宋体"/>
        <charset val="134"/>
      </rPr>
      <t>：</t>
    </r>
    <r>
      <rPr>
        <sz val="11"/>
        <color theme="1"/>
        <rFont val="Arial"/>
        <charset val="134"/>
      </rPr>
      <t>Fail ,Controller no response
0xFFFD</t>
    </r>
    <r>
      <rPr>
        <sz val="11"/>
        <color theme="1"/>
        <rFont val="宋体"/>
        <charset val="134"/>
      </rPr>
      <t>：</t>
    </r>
    <r>
      <rPr>
        <sz val="11"/>
        <color theme="1"/>
        <rFont val="Arial"/>
        <charset val="134"/>
      </rPr>
      <t>Fail, Current Function Disable
0xFFFE</t>
    </r>
    <r>
      <rPr>
        <sz val="11"/>
        <color theme="1"/>
        <rFont val="宋体"/>
        <charset val="134"/>
      </rPr>
      <t>：</t>
    </r>
    <r>
      <rPr>
        <sz val="11"/>
        <color theme="1"/>
        <rFont val="Arial"/>
        <charset val="134"/>
      </rPr>
      <t>Fail,Parameter can not be save
0xFFFF</t>
    </r>
    <r>
      <rPr>
        <sz val="11"/>
        <color theme="1"/>
        <rFont val="宋体"/>
        <charset val="134"/>
      </rPr>
      <t>：</t>
    </r>
    <r>
      <rPr>
        <sz val="11"/>
        <color theme="1"/>
        <rFont val="Arial"/>
        <charset val="134"/>
      </rPr>
      <t xml:space="preserve">Fail Input Parameters incorrect </t>
    </r>
  </si>
  <si>
    <t>Italy_AutoTest</t>
  </si>
  <si>
    <t xml:space="preserve">Italy automatic test
Write: Operate standard test;
0x0002: Operate quick test;
When reading, return the status of the last write operation:
0x0000: success
0x0001: Standard test is being operated
0x0002: Quick test is being operated
0xFFFB: The operation failed and the controller refused to respond (maybe the controller is busy or the configuration is wrong)
0xFFFC: The operation failed and the controller did not respond
0xFFFD: Operation failed, current function is forbidden
0xFFFE: Operation failed, parameter storage failed
0xFFFF: The operation failed, and the input parameters are incorrect </t>
  </si>
  <si>
    <t>EnergyStatistics_Date_Year</t>
  </si>
  <si>
    <r>
      <rPr>
        <sz val="11"/>
        <rFont val="Arial"/>
        <charset val="134"/>
      </rPr>
      <t>Register for statistics power return date. This register indicate specifics year of the returned energy data. Year refers to the Nth most recent year relative to the inverter system time. N is the register value.
0: the current year of the system time;
1: 1 year before the system time;  19</t>
    </r>
    <r>
      <rPr>
        <sz val="11"/>
        <rFont val="宋体"/>
        <charset val="134"/>
      </rPr>
      <t>：</t>
    </r>
    <r>
      <rPr>
        <sz val="11"/>
        <rFont val="Arial"/>
        <charset val="134"/>
      </rPr>
      <t>19 year before the system time</t>
    </r>
  </si>
  <si>
    <t>EnergyStatistics_Date_Month</t>
  </si>
  <si>
    <t>Register for statistics power return date. This register indicate specifics month of the returned energy data</t>
  </si>
  <si>
    <t>EnergyStatistics_Date_Date</t>
  </si>
  <si>
    <t>Register for statistics power return date. This register indicate specifics Day of the returned energy data</t>
  </si>
  <si>
    <t>EnergyStatistics_Config</t>
  </si>
  <si>
    <t xml:space="preserve">Register for statistics power return date.  High byte: the time setting of the returned data.
0x01: Every day, the first 24 data in the return area are valid;
0x02: Every month, the first 31 data in the return area are valid;
0x03: Every year, the first 12 data in the return area are valid;
0x04: life cycle, the first 20 data in the return area are valid;
Other: invalid.
Low byte: the setting of the returned data.
0x01: photovoltaic  generation;
0x02: load consumption;
0x03: electricity Purchased from Grid ;
0x04: electricity sold to grid;
0x05: battery charging power;
0x06: battery discharging  power;
Other: invalid. </t>
  </si>
  <si>
    <t>Language</t>
  </si>
  <si>
    <t>Register for language setting</t>
  </si>
  <si>
    <t>Parallel_Control</t>
  </si>
  <si>
    <t>0: Disable the inverters' parallel function  1: Enable the inverters' parallel function</t>
  </si>
  <si>
    <t>Parallel_Master_Slave</t>
  </si>
  <si>
    <t>Configuration  0: Slave 1:Master</t>
  </si>
  <si>
    <t>Parallel_Address</t>
  </si>
  <si>
    <t>Parallel address</t>
  </si>
  <si>
    <t>UnbalancedSupport_Control</t>
  </si>
  <si>
    <t xml:space="preserve">3-phase 4-wire mode grid unbalanced support control register
0: Disable unbalanced support function (default)
1: Enable unbalanced support function </t>
  </si>
  <si>
    <t>PV_Generation_Ratio</t>
  </si>
  <si>
    <t>Generated power Rate, Default value 1000</t>
  </si>
  <si>
    <t>Energy_Purchase_Ratio</t>
  </si>
  <si>
    <t>Import power Rate, Default Value 1000</t>
  </si>
  <si>
    <t>Energy_Selling_Ratio</t>
  </si>
  <si>
    <t>Export Power Rate, Default Value 1000</t>
  </si>
  <si>
    <t>Bat_Charge_Ratio</t>
  </si>
  <si>
    <t>Battery Charging power Rate, Default Value 1000</t>
  </si>
  <si>
    <t>Bat_Discharge_Ratio</t>
  </si>
  <si>
    <t>Battery Discharging Power, Default Value 1000</t>
  </si>
  <si>
    <t>AddressMask_Config_Basic2</t>
  </si>
  <si>
    <t>BatConfig_ID</t>
  </si>
  <si>
    <r>
      <rPr>
        <sz val="11"/>
        <color theme="1"/>
        <rFont val="Arial"/>
        <charset val="134"/>
      </rPr>
      <t>Battery serial number.</t>
    </r>
    <r>
      <rPr>
        <sz val="11"/>
        <color theme="1"/>
        <rFont val="Arial"/>
        <charset val="134"/>
      </rPr>
      <t xml:space="preserve"> The serial number specified by this register corresponds to the battery input interface of the inverter. After successfully writing to this register, the battery parameters will be updated to the parameters corresponding to the written serial number.</t>
    </r>
  </si>
  <si>
    <t>BatConfig_Address</t>
  </si>
  <si>
    <t>Battery Communication Address, multiple battery connected in the system, this register is used to mark the battery address of the physical interface corresponding to the battery serial number.</t>
  </si>
  <si>
    <t>BatConfig_Potocol</t>
  </si>
  <si>
    <r>
      <rPr>
        <sz val="11"/>
        <color theme="1"/>
        <rFont val="Arial"/>
        <charset val="134"/>
      </rPr>
      <t>Battery parameter-communication protocol       0: Sofar Built-in BMS        1:Pylontech's  Protocol           2</t>
    </r>
    <r>
      <rPr>
        <sz val="11"/>
        <color theme="1"/>
        <rFont val="宋体"/>
        <charset val="134"/>
      </rPr>
      <t>：</t>
    </r>
    <r>
      <rPr>
        <sz val="11"/>
        <color theme="1"/>
        <rFont val="Arial"/>
        <charset val="134"/>
      </rPr>
      <t xml:space="preserve"> </t>
    </r>
    <r>
      <rPr>
        <sz val="11"/>
        <color theme="1"/>
        <rFont val="Arial"/>
        <charset val="134"/>
      </rPr>
      <t>Sofar's Protocol</t>
    </r>
    <r>
      <rPr>
        <sz val="11"/>
        <color theme="1"/>
        <rFont val="Arial"/>
        <charset val="134"/>
      </rPr>
      <t xml:space="preserve">     3</t>
    </r>
    <r>
      <rPr>
        <sz val="11"/>
        <color theme="1"/>
        <rFont val="宋体"/>
        <charset val="134"/>
      </rPr>
      <t>：</t>
    </r>
    <r>
      <rPr>
        <sz val="11"/>
        <color theme="1"/>
        <rFont val="Arial"/>
        <charset val="134"/>
      </rPr>
      <t xml:space="preserve">Amass    4:LG    5:Alpha ESS   6.CATL   7.Weco </t>
    </r>
  </si>
  <si>
    <t>BatConfig_Voltage_Over</t>
  </si>
  <si>
    <t>Battery Parameter-Overvoltage protection</t>
  </si>
  <si>
    <t>BatConfig_Voltage_Charge</t>
  </si>
  <si>
    <t>Battery Parameter-Charge voltage protection</t>
  </si>
  <si>
    <t>BatConfig_Voltage_Lack</t>
  </si>
  <si>
    <t>Battery Parameter-undervoltage protection   ,lead-acid battery visible</t>
  </si>
  <si>
    <t>BatConfig_Voltage_Discharge_Stop</t>
  </si>
  <si>
    <t>Battery Parameter-Lowest discharge voltage</t>
  </si>
  <si>
    <t>BatConfig_Current_Charge_Limit</t>
  </si>
  <si>
    <t>Battery Parameter-Maximum charge current limit</t>
  </si>
  <si>
    <t>BatConfig_Current_Discharge_Limit</t>
  </si>
  <si>
    <t>Battery Parameter-Maximum discharge current limit</t>
  </si>
  <si>
    <t>BatConfig_Depth_of_Discharge</t>
  </si>
  <si>
    <t>Dod indicates the max discharge power, when SOC&lt;1-DOD, inverter will stop power discharge , inverter will stop power discharge caused by other issues.        DOD&lt;=EOD</t>
  </si>
  <si>
    <t>BatConfig_End_of_Discharge</t>
  </si>
  <si>
    <t xml:space="preserve">EOD indicate the max discharge power on off grid mode, when SOC&lt;1-EOD, inverter will stop power discharge , inverter will stop power discharge caused by other issues. </t>
  </si>
  <si>
    <t>BatConfig_Capacity</t>
  </si>
  <si>
    <t>Ah</t>
  </si>
  <si>
    <r>
      <rPr>
        <sz val="11"/>
        <color theme="1"/>
        <rFont val="Arial"/>
        <charset val="134"/>
      </rPr>
      <t xml:space="preserve">Battery Parameters-Capacity </t>
    </r>
    <r>
      <rPr>
        <sz val="11"/>
        <color theme="1"/>
        <rFont val="宋体"/>
        <charset val="134"/>
      </rPr>
      <t>（</t>
    </r>
    <r>
      <rPr>
        <sz val="11"/>
        <color theme="1"/>
        <rFont val="Arial"/>
        <charset val="134"/>
      </rPr>
      <t>Default 50</t>
    </r>
    <r>
      <rPr>
        <sz val="11"/>
        <color theme="1"/>
        <rFont val="宋体"/>
        <charset val="134"/>
      </rPr>
      <t>）</t>
    </r>
  </si>
  <si>
    <t>BatConfig_Voltage_Nominal</t>
  </si>
  <si>
    <r>
      <rPr>
        <sz val="11"/>
        <color theme="1"/>
        <rFont val="Arial"/>
        <charset val="134"/>
      </rPr>
      <t>Battery Parameters-Rated Battery Voltage (Default 0</t>
    </r>
    <r>
      <rPr>
        <sz val="11"/>
        <color theme="1"/>
        <rFont val="宋体"/>
        <charset val="134"/>
      </rPr>
      <t>）</t>
    </r>
  </si>
  <si>
    <t>BatConfig_Cell_Type</t>
  </si>
  <si>
    <t>Battery Parameters_battery Type     0: Lead-acid(Default)   1: lithium iron phosphate Battery 2:  Lithium Ternary Battery 3: lithium titanate Battery</t>
  </si>
  <si>
    <t>BatConfig_EPS_Buffer</t>
  </si>
  <si>
    <t>Battery parameters-off-grid recovery discharge hysteresis;
EPS_Buffer is not greater than EOD</t>
  </si>
  <si>
    <t>BatConfig_Control</t>
  </si>
  <si>
    <r>
      <rPr>
        <sz val="11"/>
        <color theme="1"/>
        <rFont val="Arial"/>
        <charset val="134"/>
      </rPr>
      <t>Battery parameters write in control. Input value is 1, the value of shadow register in battery parameters setting will upgrade to System battery parameter configuration .Input value is 2, the value of shadow register in battery parameters setting will upgrade to default value of BatConfig_Potocol .  It will return to pervious operation status when you read it.     0x0000</t>
    </r>
    <r>
      <rPr>
        <sz val="11"/>
        <color theme="1"/>
        <rFont val="微软雅黑"/>
        <charset val="134"/>
      </rPr>
      <t>：</t>
    </r>
    <r>
      <rPr>
        <sz val="11"/>
        <color theme="1"/>
        <rFont val="Arial"/>
        <charset val="134"/>
      </rPr>
      <t>success
0x0001</t>
    </r>
    <r>
      <rPr>
        <sz val="11"/>
        <color theme="1"/>
        <rFont val="微软雅黑"/>
        <charset val="134"/>
      </rPr>
      <t>：</t>
    </r>
    <r>
      <rPr>
        <sz val="11"/>
        <color theme="1"/>
        <rFont val="Arial"/>
        <charset val="134"/>
      </rPr>
      <t>Operating
0xFFFB</t>
    </r>
    <r>
      <rPr>
        <sz val="11"/>
        <color theme="1"/>
        <rFont val="微软雅黑"/>
        <charset val="134"/>
      </rPr>
      <t>：</t>
    </r>
    <r>
      <rPr>
        <sz val="11"/>
        <color theme="1"/>
        <rFont val="Arial"/>
        <charset val="134"/>
      </rPr>
      <t>Fail,controller refuse to  response (controller busy or configuration issue</t>
    </r>
    <r>
      <rPr>
        <sz val="11"/>
        <color theme="1"/>
        <rFont val="微软雅黑"/>
        <charset val="134"/>
      </rPr>
      <t>）</t>
    </r>
    <r>
      <rPr>
        <sz val="11"/>
        <color theme="1"/>
        <rFont val="Arial"/>
        <charset val="134"/>
      </rPr>
      <t xml:space="preserve">
</t>
    </r>
    <r>
      <rPr>
        <sz val="11"/>
        <color theme="1"/>
        <rFont val="Arial"/>
        <charset val="134"/>
      </rPr>
      <t>0xFFFC</t>
    </r>
    <r>
      <rPr>
        <sz val="11"/>
        <color theme="1"/>
        <rFont val="微软雅黑"/>
        <charset val="134"/>
      </rPr>
      <t>：</t>
    </r>
    <r>
      <rPr>
        <sz val="11"/>
        <color theme="1"/>
        <rFont val="Arial"/>
        <charset val="134"/>
      </rPr>
      <t>Fail ,Controller no response
0xFFFD</t>
    </r>
    <r>
      <rPr>
        <sz val="11"/>
        <color theme="1"/>
        <rFont val="微软雅黑"/>
        <charset val="134"/>
      </rPr>
      <t>：</t>
    </r>
    <r>
      <rPr>
        <sz val="11"/>
        <color theme="1"/>
        <rFont val="Arial"/>
        <charset val="134"/>
      </rPr>
      <t>Fail, Current Function Disable
0xFFFE</t>
    </r>
    <r>
      <rPr>
        <sz val="11"/>
        <color theme="1"/>
        <rFont val="微软雅黑"/>
        <charset val="134"/>
      </rPr>
      <t>：</t>
    </r>
    <r>
      <rPr>
        <sz val="11"/>
        <color theme="1"/>
        <rFont val="Arial"/>
        <charset val="134"/>
      </rPr>
      <t>Fail,Parameter can not be save
0xFFFF</t>
    </r>
    <r>
      <rPr>
        <sz val="11"/>
        <color theme="1"/>
        <rFont val="微软雅黑"/>
        <charset val="134"/>
      </rPr>
      <t>：</t>
    </r>
    <r>
      <rPr>
        <sz val="11"/>
        <color theme="1"/>
        <rFont val="Arial"/>
        <charset val="134"/>
      </rPr>
      <t>Fail Input Parameters incorrect</t>
    </r>
  </si>
  <si>
    <t>BatConfig_Address2</t>
  </si>
  <si>
    <r>
      <rPr>
        <sz val="11"/>
        <color theme="1"/>
        <rFont val="Arial"/>
        <charset val="134"/>
      </rPr>
      <t>Battery address.</t>
    </r>
    <r>
      <rPr>
        <sz val="11"/>
        <color theme="1"/>
        <rFont val="Arial"/>
        <charset val="134"/>
      </rPr>
      <t xml:space="preserve"> If multiple batteries connected in the system, this register used to mark the battery address of the physical interface corresponding to the battery serial number.</t>
    </r>
  </si>
  <si>
    <t>BatConfig_Address3</t>
  </si>
  <si>
    <t>BatConfig_Address4</t>
  </si>
  <si>
    <t>PCCSampleMode</t>
  </si>
  <si>
    <t>PCC power acquisition device configuration
0: not used
1: Electricity meter
2: CT
3: ARPC</t>
  </si>
  <si>
    <t>Resonance_Sensitivity</t>
  </si>
  <si>
    <t>Resonance detection sensitivity</t>
  </si>
  <si>
    <t>AddressMask_Config_Basic3</t>
  </si>
  <si>
    <t>Arcing_Alarm_Enable</t>
  </si>
  <si>
    <t>Enable ARC testing</t>
  </si>
  <si>
    <t>Arcing_ChannelSelfTest_Comm</t>
  </si>
  <si>
    <t xml:space="preserve">written 1 means start self testing(self check all channels)., all cleared after the self -testing </t>
  </si>
  <si>
    <t>Arcing_ChannelSelfTest_Result</t>
  </si>
  <si>
    <t>Bit0 represents the self-test result of channel 1, bit1 represents the self-test result of channel 2, bit2 represents the self-test result of channel 3, and bit3 represents the self-test result of channel 4.
1 means self-check failed (or no self-check), 0 means self-check succeeded. "</t>
  </si>
  <si>
    <t>Arcing_Alarm_Threshold1</t>
  </si>
  <si>
    <t>Settable arc alarm threshold (all channels)</t>
  </si>
  <si>
    <t>Arcing_Alarm_Threshold2</t>
  </si>
  <si>
    <t>Arcing_Alarm_Threshold3</t>
  </si>
  <si>
    <t>Arcing_Alarm_Threshold4</t>
  </si>
  <si>
    <t>Arcing_Alarm_Clear</t>
  </si>
  <si>
    <t>0x1234</t>
  </si>
  <si>
    <t>Write in 0x1234 to clear the arc alarm (all channels)</t>
  </si>
  <si>
    <t>Arcing_Alarm_ShutDown_Threshold</t>
  </si>
  <si>
    <t>DC arc alarm fault threshold: after "current arc alarm times" is greater than or equal to "current arc alarm times", a DC arc alarm fault is reported and the inverter shuts down</t>
  </si>
  <si>
    <t>Arcing_Alarm_Counter</t>
  </si>
  <si>
    <t>Current arc alarm times</t>
  </si>
  <si>
    <t>PLC_Enable_Setting</t>
  </si>
  <si>
    <t>PLC_Com_Property</t>
  </si>
  <si>
    <t>NULL</t>
  </si>
  <si>
    <t>bit0-bot1:0~1 corresponds to 1/1.5
Bit2~bit4:0~7 correspond to three verification methods: NONE/odd/EVEN
bit5~bit7 0~3 corresponding to 8/9l two data bit lengths
bit8~15 0~7 corresponding to 4800/9600/19200/38400/115200</t>
  </si>
  <si>
    <t>BLE_Enable_Setting</t>
  </si>
  <si>
    <t>BLE_Com_Property</t>
  </si>
  <si>
    <t>bit0-bot1:0~1 corresponds to 1/1.5
Bit2~bit4:0~7 correspond to three verification methods: NONE/odd/EVEN
bit5~bit7 0~1 corresponding to 8/9l two data bit lengths
bit8~15 0~7 corresponding to 4800/9600/19200/38400/115200</t>
  </si>
  <si>
    <t>PID_Auto_running_enable</t>
  </si>
  <si>
    <t>PID starts to run automatically.
0 means disabled; 1 means enabled.</t>
  </si>
  <si>
    <t>PID_Working_Start_Time</t>
  </si>
  <si>
    <t>PID work start time (BCD code).
For example: the minimum value 0x0000 means 00:00;
The maximum value of 0x2359 means 23:59.</t>
  </si>
  <si>
    <t>PID_Working_Hours</t>
  </si>
  <si>
    <t>PID working hours.</t>
  </si>
  <si>
    <t>PID_Working_PV_Threshold</t>
  </si>
  <si>
    <t>PID starts the PV value threshold.
When the PV voltage is lower than the threshold value, PID is allowed to start.</t>
  </si>
  <si>
    <t>PID_Break_Restart_Delay</t>
  </si>
  <si>
    <t>Waiting time for restart after PID fault is closed.</t>
  </si>
  <si>
    <t>Remote control (0x1100-0x12FF)</t>
  </si>
  <si>
    <t>AddressMask_Config_Remote1</t>
  </si>
  <si>
    <t>Each bit of this field corresponds to the validity of 64 addresses above and including the address of this field. bit4 represents the address where the highest bit of this field plus 1 is located.
0 means invalid; 1 means valid.</t>
  </si>
  <si>
    <t>Remote_On_Off_Control</t>
  </si>
  <si>
    <t>Remote power on/off.
0x0000: power off
0x0001: power on</t>
  </si>
  <si>
    <t>Power_Control</t>
  </si>
  <si>
    <t>RWV</t>
  </si>
  <si>
    <t>Power control.
Bit0: active (address 0x1106) enable bit
Bit1: Reactive (address 0x1107-0x1108) enable bit
Bit2: Reactive mode selection bit (0: Reactive_Power; 1: Power_Factor)</t>
  </si>
  <si>
    <t>Active_Power_Export_Limit</t>
  </si>
  <si>
    <t>Output maximum active power percentage</t>
  </si>
  <si>
    <t>Active_Power_Import_Limit</t>
  </si>
  <si>
    <t>Input maximum active power percentage</t>
  </si>
  <si>
    <t>Reactive_Power_Setting</t>
  </si>
  <si>
    <t>Percentage of reactive power.
Note: The maximum reactive power is limited by the specific model.</t>
  </si>
  <si>
    <t>Power_Factor_Setting</t>
  </si>
  <si>
    <t>Power factor.
Note: The minimum power factor is limited by the specific model.</t>
  </si>
  <si>
    <t>Active_Power_Limit_Speed</t>
  </si>
  <si>
    <t>Active power limit change rate</t>
  </si>
  <si>
    <t>Reactive_Power_Response_Time</t>
  </si>
  <si>
    <t>second</t>
  </si>
  <si>
    <t>Reactive power setting response time</t>
  </si>
  <si>
    <t>Energy_Storage_Mode_Control</t>
  </si>
  <si>
    <t>Energy storage working mode setting;
0: Spontaneous self-use mode
1: Time-of-use electricity price model
2: Timing charging and discharging mode
3: Passive mode
4: Peak clipping mode
5: Off-grid mode
Used to change the working mode.</t>
  </si>
  <si>
    <t>Timing_ID</t>
  </si>
  <si>
    <t>Timed charging and discharging-rule number;
The smaller the serial number, the higher the priority.
After successfully writing to this register, the timing charge and discharge parameters will be updated to the parameters corresponding to the written serial number.</t>
  </si>
  <si>
    <t>Timing_On_Off_Control</t>
  </si>
  <si>
    <t>Timing charge and discharge-enable control;
Bit0: charge enable
Bit1: Discharge enable</t>
  </si>
  <si>
    <t>Timing_Charge_Start</t>
  </si>
  <si>
    <t>1
1</t>
  </si>
  <si>
    <t>Hour
Minute</t>
  </si>
  <si>
    <t>0
0</t>
  </si>
  <si>
    <t>23
59</t>
  </si>
  <si>
    <t>High byte. Charging start hour
Low byte. Charging start minutes</t>
  </si>
  <si>
    <t>Timing_Charge_End</t>
  </si>
  <si>
    <t>High byte. Charging end hour
Low byte. Minutes after charging</t>
  </si>
  <si>
    <t>Timing_Discharge_Start</t>
  </si>
  <si>
    <t>High byte. Discharge start hour
Low byte. Discharge start minute</t>
  </si>
  <si>
    <t>Timing_Discharge_End</t>
  </si>
  <si>
    <t>High byte. End of discharge hour
Low byte. Minutes after discharge</t>
  </si>
  <si>
    <t>Timing_Power_Charge</t>
  </si>
  <si>
    <t>Timed charging and discharging-charging power</t>
  </si>
  <si>
    <t>Timing_Power_Discharge</t>
  </si>
  <si>
    <t>Timing charge and discharge-discharge power</t>
  </si>
  <si>
    <t>Timing_Rsvd1</t>
  </si>
  <si>
    <t>Timed charge and discharge-reserved 1</t>
  </si>
  <si>
    <t>Timing_Rsvd2</t>
  </si>
  <si>
    <t>Timed charge and discharge-reserved 2</t>
  </si>
  <si>
    <t>Timing_Rsvd3</t>
  </si>
  <si>
    <t>Timed charge and discharge-reserved 3</t>
  </si>
  <si>
    <t>Timing_Rsvd4</t>
  </si>
  <si>
    <t>Timed charge and discharge-reserved 4</t>
  </si>
  <si>
    <t>Timing_Control</t>
  </si>
  <si>
    <t>Timing charge and discharge write control;
When the written value is 1, the value in the shadow register of timing charge and discharge is updated to the system timing charge and discharge configuration;
When reading, return the status of the last write operation:
0x0000: success
0x0001: operating
0xFFFB: The operation failed and the controller refused to respond (maybe the controller is busy or the configuration is wrong)
0xFFFC: The operation failed and the controller did not respond
0xFFFD: Operation failed, current function is forbidden
0xFFFE: Operation failed, parameter storage failed
0xFFFF: The operation failed, and the input parameters are incorrect</t>
  </si>
  <si>
    <t>TOU_ID</t>
  </si>
  <si>
    <t>Time-of-use electricity price-rule number;
The smaller the serial number, the higher the priority.
After successfully writing to this register, the time-of-use electricity price parameter will be updated to the parameter corresponding to the written serial number.</t>
  </si>
  <si>
    <t>TOU_On_Off_Control</t>
  </si>
  <si>
    <t>Time-of-use price-rule enable;
0: disabled
1: enable</t>
  </si>
  <si>
    <t>TOU_Charge_Start</t>
  </si>
  <si>
    <t>TOU_Charge_End</t>
  </si>
  <si>
    <t>TOU_Charge_Target_SOC</t>
  </si>
  <si>
    <t>Time-of-use price-mandatory charging cut-off SOC;
The percentage of remaining power. When the current SOC of the battery reaches the value of this register, the forced charging ends and enters the spontaneous self-use mode, while discharging is prohibited.</t>
  </si>
  <si>
    <t>TOU_Charge_Power</t>
  </si>
  <si>
    <t>Time-of-use price-mandatory charging power;
The set value cannot exceed the rated power of the machine.</t>
  </si>
  <si>
    <t>TOU_Executed_Date_Start</t>
  </si>
  <si>
    <t>Month
Date</t>
  </si>
  <si>
    <t>12
31</t>
  </si>
  <si>
    <t>High byte. The month when the rule becomes effective
Low byte. Effective date of the rule</t>
  </si>
  <si>
    <t>TOU_Executed_Date_End</t>
  </si>
  <si>
    <t>High byte. The month when the rule ceases to take effect
Low byte. The date when the rule ceases to take effect</t>
  </si>
  <si>
    <t>TOU_Executed_Day_of_Week</t>
  </si>
  <si>
    <t>Time-of-use electricity price-week when the rule takes effect;
This register is represented by a bit field, a bit of 0 indicates an invalid day of the week, and a bit of 1 indicates a valid day of the week
Bit0: Monday
Bit1: Tuesday
Bit2: Wednesday
Bit3: Thursday
Bit4: Friday
Bit5: Saturday
Bit6: Sunday</t>
  </si>
  <si>
    <t>TOU_Rsvd1</t>
  </si>
  <si>
    <t>Time-of-use energy price-reserved 1</t>
  </si>
  <si>
    <t>TOU_Rsvd2</t>
  </si>
  <si>
    <t>Time-of-use energy price-reserved 2</t>
  </si>
  <si>
    <t>TOU_Rsvd3</t>
  </si>
  <si>
    <t>Time-of-use energy price-reserved 3</t>
  </si>
  <si>
    <t>TOU_Rsvd4</t>
  </si>
  <si>
    <t>Time-of-use energy price-reserved 4</t>
  </si>
  <si>
    <t>TOU_Rsvd5</t>
  </si>
  <si>
    <t>Time-of-use energy price-reserved 5</t>
  </si>
  <si>
    <t>TOU_Control</t>
  </si>
  <si>
    <t>Time-of-use energy price-write control;
When the written value is 1, the value in the shadow register of the time-of-use electricity price is updated to the system time-of-use electricity price configuration;
When reading, return the status of the last write operation:
0x0000: success
0x0001: operating
0xFFFB: The operation failed and the controller refused to respond (maybe the controller is busy or the configuration is wrong)
0xFFFC: The operation failed and the controller did not respond
0xFFFD: Operation failed, current function is forbidden
0xFFFE: Operation failed, parameter storage failed
0xFFFF: The operation failed, and the input parameters are incorrect</t>
  </si>
  <si>
    <t>Peak_Shaving_Discharge_Threshold</t>
  </si>
  <si>
    <t>The power limit that allows the system to buy electricity from the grid</t>
  </si>
  <si>
    <t>Peak_Shaving_Charge_Threshold</t>
  </si>
  <si>
    <t>The power cap that allows the system to sell electricity to the grid</t>
  </si>
  <si>
    <t>AddressMask_Config_Remote2</t>
  </si>
  <si>
    <t>Off_Grid_Charge_Source</t>
  </si>
  <si>
    <t>Off-grid mode-charging source selection:
0: Grid
1: Generator
2: reserved</t>
  </si>
  <si>
    <t>Off_Grid_Grid_Power</t>
  </si>
  <si>
    <t>Off-grid mode-power drawn from the grid</t>
  </si>
  <si>
    <t>Off_Grid_DG_Power</t>
  </si>
  <si>
    <t>Off-grid mode-generator power</t>
  </si>
  <si>
    <t>AddressMask_Config_Remote3</t>
  </si>
  <si>
    <t>Passive_Timeout</t>
  </si>
  <si>
    <t>Passive mode-timeout control;
Default value: 0;
Set the passive mode communication timeout time. When the inverter does not receive any communication within the time set by this register, the inverter will force the timeout action.
In particular, writing 0 to this register will disable the timeout function.</t>
  </si>
  <si>
    <t>Passive_Timeout_Action</t>
  </si>
  <si>
    <t>Passive mode-timeout action;
0: Forced standby
1: Forced to restore to the energy storage mode before entering the passive mode</t>
  </si>
  <si>
    <t>Passive_Rsvd1</t>
  </si>
  <si>
    <t>Passive mode-reserved 1</t>
  </si>
  <si>
    <t>Passive_Manual_Gdes</t>
  </si>
  <si>
    <t>I32</t>
  </si>
  <si>
    <t>Manual mode expected grid power (Gdes);
A positive value indicates the power direction "from the grid to the system";
Negative values indicate the power direction "from system to grid".</t>
  </si>
  <si>
    <t>Passive_Manual_Blo</t>
  </si>
  <si>
    <t>The minimum charge and discharge power of the battery in Manual mode (Blo);
Positive value means charging;
Negative values indicate discharge.</t>
  </si>
  <si>
    <t>Passive_Manual_Bup</t>
  </si>
  <si>
    <t>The maximum charge and discharge power of the battery in Manual mode (Bup);
Positive value means charging;
Negative values indicate discharge.</t>
  </si>
  <si>
    <t>Passive_Manual_Gdzup</t>
  </si>
  <si>
    <t>Manual mode allows selling electric power (Gdzup);
A positive value indicates the power direction "from the grid to the system";
Negative values indicate the power direction "from system to grid".</t>
  </si>
  <si>
    <t>Passive_Manual_Gdzlo</t>
  </si>
  <si>
    <t>Manual mode allows to buy electric power (Gdzlo);
A positive value indicates the power direction "from the grid to the system";
Negative values indicate the power direction "from system to grid".</t>
  </si>
  <si>
    <t>Passive_Scheduler_Gdes_Ante</t>
  </si>
  <si>
    <t>Scheduler mode expected grid power (Gdes_Ante);
The parameters of the planned task are valid during the planned time period.
A positive value indicates the power direction "from the grid to the system";
Negative values indicate the power direction "from system to grid".</t>
  </si>
  <si>
    <t>Passive_Scheduler_Blo_Ante</t>
  </si>
  <si>
    <t>The minimum charge and discharge power of the battery in Scheduler mode (Blo_Ante);
The parameters of the planned task are valid during the planned time period.
A positive value indicates the power direction "from the grid to the system";
Negative values indicate the power direction "from system to grid".</t>
  </si>
  <si>
    <t>Passive_Scheduler_Bup_Ante</t>
  </si>
  <si>
    <t>The maximum charge and discharge power of the battery in Scheduler mode (Bup_Ante);
The parameters of the planned task are valid during the planned time period.
A positive value indicates the power direction "from the grid to the system";
Negative values indicate the power direction "from system to grid".</t>
  </si>
  <si>
    <t>Passive_Scheduler_Gdzup_Ante</t>
  </si>
  <si>
    <t>Scheduler mode allows to sell electric power (Gdzup_Ante);
The parameters of the planned task are valid during the planned time period.
A positive value indicates the power direction "from the grid to the system";
Negative values indicate the power direction "from system to grid".</t>
  </si>
  <si>
    <t>Passive_Scheduler_Gdzlo_Ante</t>
  </si>
  <si>
    <t>Scheduler mode allows to buy electric power (Gdzlo_Ante);
The parameters of the planned task are valid during the planned time period.
A positive value indicates the power direction "from the grid to the system";
Negative values indicate the power direction "from system to grid".</t>
  </si>
  <si>
    <t>Passive_Scheduler_Gdes_Post</t>
  </si>
  <si>
    <t>Scheduler mode expected grid power (Gdes_Post);
Schedule task parameters, valid after the scheduled time period.
A positive value indicates the power direction "from the grid to the system";
Negative values indicate the power direction "from system to grid".</t>
  </si>
  <si>
    <t>Passive_Scheduler_Blo_Post</t>
  </si>
  <si>
    <t>The minimum charge and discharge power of the battery in Scheduler mode (Blo_Post);
Schedule task parameters, valid after the scheduled time period.
A positive value indicates the power direction "from the grid to the system";
Negative values indicate the power direction "from system to grid".</t>
  </si>
  <si>
    <t>Passive_Scheduler_Bup_Post</t>
  </si>
  <si>
    <t>The maximum charge and discharge power of the battery in Scheduler mode (Bup_Post);
Schedule task parameters, valid after the scheduled time period.
A positive value indicates the power direction "from the grid to the system";
Negative values indicate the power direction "from system to grid".</t>
  </si>
  <si>
    <t>Passive_Scheduler_Gdzup_Post</t>
  </si>
  <si>
    <t>Scheduler mode allows to sell electric power (Gdzup_Post);
Schedule task parameters, valid after the scheduled time period.
A positive value indicates the power direction "from the grid to the system";
Negative values indicate the power direction "from system to grid".</t>
  </si>
  <si>
    <t>Passive_Scheduler_Gdzlo_Post</t>
  </si>
  <si>
    <t>Scheduler mode allows to buy electric power (Gdzlo_Post);
Schedule task parameters, valid after the scheduled time period.
A positive value indicates the power direction "from the grid to the system";
Negative values indicate the power direction "from system to grid".</t>
  </si>
  <si>
    <t>Passive_Scheduler_StartTime</t>
  </si>
  <si>
    <t>Scheduler mode application expectation parameter setting value start time;
StartTime is in unix time format. Since the internal time of the system defaults to Greenwich Mean Time (GMT), when setting this parameter, you should pay attention to the local time zone of your country, StartTime=(local Unix Time)±(local time and UTC/GMT The number of seconds corresponding to the time difference)</t>
  </si>
  <si>
    <t>Passive_Scheduler_DurationTime</t>
  </si>
  <si>
    <t>Scheduler mode application expects the duration of the parameter setting value (DurationTime)</t>
  </si>
  <si>
    <t>Passive_Scheduler_ManagementMode</t>
  </si>
  <si>
    <t>Scheduler mode management mode selection (ManagementMode);
0: Spontaneous self-use mode
1: Manual mode
2: Scheduler mode
Only 0, 1, 2 can be input, other data is invalid.</t>
  </si>
  <si>
    <t>AddressMask_Config_Remote4</t>
  </si>
  <si>
    <t>The inverter returns a read-only result (0x1300-0x15FF)</t>
  </si>
  <si>
    <t>AddressMask_Config_ReadOnly_Result1</t>
  </si>
  <si>
    <t>Italay_Autotest_Result1</t>
  </si>
  <si>
    <t>Italian automatic test 59.s1.
The first-level overvoltage protection value is set by default.</t>
  </si>
  <si>
    <t>Italay_Autotest_Result2</t>
  </si>
  <si>
    <t>Italian automatic test 59.s1.
The first-level overvoltage protection time is set by default.</t>
  </si>
  <si>
    <t>Italay_Autotest_Result3</t>
  </si>
  <si>
    <t>Italian automatic test 59.s1.
Test result of level 1 overvoltage protection value.</t>
  </si>
  <si>
    <t>Italay_Autotest_Result4</t>
  </si>
  <si>
    <t>Italian automatic test 59.s1.
The first level overvoltage protection time test result.</t>
  </si>
  <si>
    <t>Italay_Autotest_Result5</t>
  </si>
  <si>
    <t>Italian automatic test 59.s2.
The secondary overvoltage protection value is set by default.</t>
  </si>
  <si>
    <t>Italay_Autotest_Result6</t>
  </si>
  <si>
    <t>Italian automatic test 59.s2.
The second-level overvoltage protection time is set by default.</t>
  </si>
  <si>
    <t>Italay_Autotest_Result7</t>
  </si>
  <si>
    <t>Italian automatic test 59.s2.
Test result of secondary overvoltage protection value.</t>
  </si>
  <si>
    <t>Italay_Autotest_Result8</t>
  </si>
  <si>
    <t>Italian automatic test 59.s2.
Test result of secondary overvoltage protection time.</t>
  </si>
  <si>
    <t>Italay_Autotest_Result9</t>
  </si>
  <si>
    <t>Italian automatic test 27.s1.
The first-level undervoltage protection value is set by default.</t>
  </si>
  <si>
    <t>Italay_Autotest_Result10</t>
  </si>
  <si>
    <t>Italian automatic test 27.s1.
The first-level undervoltage protection time is set by default.</t>
  </si>
  <si>
    <t>Italay_Autotest_Result11</t>
  </si>
  <si>
    <t>Italian automatic test 27.s1.
The first level undervoltage protection value test result.</t>
  </si>
  <si>
    <t>Italay_Autotest_Result12</t>
  </si>
  <si>
    <t>Italian automatic test 27.s1.
The first level undervoltage protection time test result.</t>
  </si>
  <si>
    <t>Italay_Autotest_Result13</t>
  </si>
  <si>
    <t>Italian automatic test 27.s2.
The secondary undervoltage protection value is set by default.</t>
  </si>
  <si>
    <t>Italay_Autotest_Result14</t>
  </si>
  <si>
    <t>Italian automatic test 27.s2.
The second level undervoltage protection time is set by default.</t>
  </si>
  <si>
    <t>Italay_Autotest_Result15</t>
  </si>
  <si>
    <t>Italian automatic test 27.s2.
Test result of secondary undervoltage protection value.</t>
  </si>
  <si>
    <t>Italay_Autotest_Result16</t>
  </si>
  <si>
    <t>Italian automatic test 27.s2.
Test result of secondary undervoltage protection time.</t>
  </si>
  <si>
    <t>Italay_Autotest_Result17</t>
  </si>
  <si>
    <t>Italian automatic test 81&gt;s1.
The first-level over-frequency protection value is set by default.</t>
  </si>
  <si>
    <t>Italay_Autotest_Result18</t>
  </si>
  <si>
    <t>Italian automatic test 81&gt;s1.
The first-level over-frequency protection time is set by default.</t>
  </si>
  <si>
    <t>Italay_Autotest_Result19</t>
  </si>
  <si>
    <t>Italian automatic test 81&gt;s1.
Test result of level 1 over-frequency protection value.</t>
  </si>
  <si>
    <t>Italay_Autotest_Result20</t>
  </si>
  <si>
    <t>Italian automatic test 81&gt;s1.
The first level over-frequency protection time test result.</t>
  </si>
  <si>
    <t>Italay_Autotest_Result21</t>
  </si>
  <si>
    <t>Italian automatic test 81&gt;s2.
The second-level over-frequency protection value is set by default.</t>
  </si>
  <si>
    <t>Italay_Autotest_Result22</t>
  </si>
  <si>
    <t>Italian automatic test 81&gt;s2.
The second level over-frequency protection time is set by default.</t>
  </si>
  <si>
    <t>Italay_Autotest_Result23</t>
  </si>
  <si>
    <t>Italian automatic test 81&gt;s2.
Test result of secondary over-frequency protection value.</t>
  </si>
  <si>
    <t>Italay_Autotest_Result24</t>
  </si>
  <si>
    <t>Italian automatic test 81&gt;s2.
Test result of secondary over-frequency protection time.</t>
  </si>
  <si>
    <t>Italay_Autotest_Result25</t>
  </si>
  <si>
    <t>Italian automatic test 81&lt;s1.
The first level under-frequency protection value is set by default.</t>
  </si>
  <si>
    <t>Italay_Autotest_Result26</t>
  </si>
  <si>
    <t>Italian automatic test 81&lt;s1.
The first level under-frequency protection time is set by default.</t>
  </si>
  <si>
    <t>Italay_Autotest_Result27</t>
  </si>
  <si>
    <t>Italian automatic test 81&lt;s1.
Test result of first-level under-frequency protection value.</t>
  </si>
  <si>
    <t>Italay_Autotest_Result28</t>
  </si>
  <si>
    <t>Italian automatic test 81&lt;s1.
The first level under-frequency protection time test result.</t>
  </si>
  <si>
    <t>Italay_Autotest_Result29</t>
  </si>
  <si>
    <t>Italian automatic test 81&lt;s2.
The second-level under-frequency protection value is set by default.</t>
  </si>
  <si>
    <t>Italay_Autotest_Result30</t>
  </si>
  <si>
    <t>Italian automatic test 81&lt;s2.
The second level under-frequency protection time is set by default.</t>
  </si>
  <si>
    <t>Italay_Autotest_Result31</t>
  </si>
  <si>
    <t>Italian automatic test 81&lt;s2.
Test result of secondary underfrequency protection value.</t>
  </si>
  <si>
    <t>Italay_Autotest_Result32</t>
  </si>
  <si>
    <t>Italian automatic test 81&lt;s2.
Test result of secondary under-frequency protection time.</t>
  </si>
  <si>
    <t>Italay_Autotest_Result33</t>
  </si>
  <si>
    <t>Italy automatic test result 33</t>
  </si>
  <si>
    <t>Italay_Autotest_Result34</t>
  </si>
  <si>
    <t>Italy automatic test result 34</t>
  </si>
  <si>
    <t>Italay_Autotest_Result35</t>
  </si>
  <si>
    <t>Italy automatic test result 35</t>
  </si>
  <si>
    <t>Italay_Autotest_Result36</t>
  </si>
  <si>
    <t>Italy automatic test result 36</t>
  </si>
  <si>
    <t>Italay_Autotest_Result37</t>
  </si>
  <si>
    <t>Italy automatic test result 37</t>
  </si>
  <si>
    <t>Italay_Autotest_Result38</t>
  </si>
  <si>
    <t>Italy automatic test result 38</t>
  </si>
  <si>
    <t>Italay_Autotest_Result39</t>
  </si>
  <si>
    <t>Italy automatic test result 39</t>
  </si>
  <si>
    <t>Italay_Autotest_Result40</t>
  </si>
  <si>
    <t>Italian automatic test result 40</t>
  </si>
  <si>
    <t>Italay_Autotest_Result41</t>
  </si>
  <si>
    <t>Italian automatic test result 41</t>
  </si>
  <si>
    <t>Italay_Autotest_Result42</t>
  </si>
  <si>
    <t>Italian automatic test result 42</t>
  </si>
  <si>
    <t>Italay_Autotest_Result43</t>
  </si>
  <si>
    <t>Italy automatic test result 43</t>
  </si>
  <si>
    <t>Italay_Autotest_Result44</t>
  </si>
  <si>
    <t>Italy automatic test result 44</t>
  </si>
  <si>
    <t>Italay_Autotest_Result45</t>
  </si>
  <si>
    <t>Italy automatic test result 45</t>
  </si>
  <si>
    <t>Italay_Autotest_Result46</t>
  </si>
  <si>
    <t>Italy automatic test result 46</t>
  </si>
  <si>
    <t>Italay_Autotest_Result47</t>
  </si>
  <si>
    <t>Italy automatic test result 47</t>
  </si>
  <si>
    <t>Italay_Autotest_Result48</t>
  </si>
  <si>
    <t>Italy automatic test result 48</t>
  </si>
  <si>
    <t>AddressMask_Config_ReadOnly_Result2</t>
  </si>
  <si>
    <t>IVCurve_Voltage1</t>
  </si>
  <si>
    <t>IV curve sweep voltage 1</t>
  </si>
  <si>
    <t>IVCurve_Current1</t>
  </si>
  <si>
    <t>IV curve sweep current 1</t>
  </si>
  <si>
    <t>IVCurve_Voltage2</t>
  </si>
  <si>
    <t>IV curve sweep voltage 2</t>
  </si>
  <si>
    <t>IVCurve_Current2</t>
  </si>
  <si>
    <t>IV curve scan current 2</t>
  </si>
  <si>
    <t>IVCurve_Voltage3</t>
  </si>
  <si>
    <t>IV curve sweep voltage 3</t>
  </si>
  <si>
    <t>IVCurve_Current3</t>
  </si>
  <si>
    <t>IV curve scan current 3</t>
  </si>
  <si>
    <t>IVCurve_Voltage4</t>
  </si>
  <si>
    <t>IV curve sweep voltage 4</t>
  </si>
  <si>
    <t>IVCurve_Current4</t>
  </si>
  <si>
    <t>IV curve scan current 4</t>
  </si>
  <si>
    <t>IVCurve_Voltage5</t>
  </si>
  <si>
    <t>IV curve sweep voltage 5</t>
  </si>
  <si>
    <t>IVCurve_Current5</t>
  </si>
  <si>
    <t>IV curve scan current 5</t>
  </si>
  <si>
    <t>IVCurve_Voltage6</t>
  </si>
  <si>
    <t>IV curve sweep voltage 6</t>
  </si>
  <si>
    <t>IVCurve_Current6</t>
  </si>
  <si>
    <t>IV curve scan current 6</t>
  </si>
  <si>
    <t>IVCurve_Voltage7</t>
  </si>
  <si>
    <t>IV curve sweep voltage 7</t>
  </si>
  <si>
    <t>IVCurve_Current7</t>
  </si>
  <si>
    <t>IV curve scan current 7</t>
  </si>
  <si>
    <t>IVCurve_Voltage8</t>
  </si>
  <si>
    <t>IV curve sweep voltage 8</t>
  </si>
  <si>
    <t>IVCurve_Current8</t>
  </si>
  <si>
    <t>IV curve scan current 8</t>
  </si>
  <si>
    <t>IVCurve_Voltage9</t>
  </si>
  <si>
    <t>IV curve sweep voltage 9</t>
  </si>
  <si>
    <t>IVCurve_Current9</t>
  </si>
  <si>
    <t>IV curve sweep current 9</t>
  </si>
  <si>
    <t>IVCurve_Voltage10</t>
  </si>
  <si>
    <t>IV curve sweep voltage 10</t>
  </si>
  <si>
    <t>IVCurve_Current10</t>
  </si>
  <si>
    <t>IV curve sweep current 10</t>
  </si>
  <si>
    <t>IVCurve_Voltage11</t>
  </si>
  <si>
    <t>IV curve sweep voltage 11</t>
  </si>
  <si>
    <t>IVCurve_Current11</t>
  </si>
  <si>
    <t>IV curve scan current 11</t>
  </si>
  <si>
    <t>IVCurve_Voltage12</t>
  </si>
  <si>
    <t>IV curve sweep voltage 12</t>
  </si>
  <si>
    <t>IVCurve_Current12</t>
  </si>
  <si>
    <t>IV curve scan current 12</t>
  </si>
  <si>
    <t>IVCurve_Voltage13</t>
  </si>
  <si>
    <t>IV curve sweep voltage 13</t>
  </si>
  <si>
    <t>IVCurve_Current13</t>
  </si>
  <si>
    <t>IV curve sweep current 13</t>
  </si>
  <si>
    <t>IVCurve_Voltage14</t>
  </si>
  <si>
    <t>IV curve sweep voltage 14</t>
  </si>
  <si>
    <t>IVCurve_Current14</t>
  </si>
  <si>
    <t>IV curve scan current 14</t>
  </si>
  <si>
    <t>IVCurve_Voltage15</t>
  </si>
  <si>
    <t>IV curve sweep voltage 15</t>
  </si>
  <si>
    <t>IVCurve_Current15</t>
  </si>
  <si>
    <t>IV curve scan current 15</t>
  </si>
  <si>
    <t>IVCurve_Voltage16</t>
  </si>
  <si>
    <t>IV curve sweep voltage 16</t>
  </si>
  <si>
    <t>IVCurve_Current16</t>
  </si>
  <si>
    <t>IV curve scan current 16</t>
  </si>
  <si>
    <t>IVCurve_Voltage17</t>
  </si>
  <si>
    <t>IV curve sweep voltage 17</t>
  </si>
  <si>
    <t>IVCurve_Current17</t>
  </si>
  <si>
    <t>IV curve scan current 17</t>
  </si>
  <si>
    <t>IVCurve_Voltage18</t>
  </si>
  <si>
    <t>IV curve sweep voltage 18</t>
  </si>
  <si>
    <t>IVCurve_Current18</t>
  </si>
  <si>
    <t>IV curve scan current 18</t>
  </si>
  <si>
    <t>IVCurve_Voltage19</t>
  </si>
  <si>
    <t>IV curve sweep voltage 19</t>
  </si>
  <si>
    <t>IVCurve_Current19</t>
  </si>
  <si>
    <t>IV curve scan current 19</t>
  </si>
  <si>
    <t>IVCurve_Voltage20</t>
  </si>
  <si>
    <t>IV curve sweep voltage 20</t>
  </si>
  <si>
    <t>IVCurve_Current20</t>
  </si>
  <si>
    <t>IV curve scan current 20</t>
  </si>
  <si>
    <t>IVCurve_Voltage21</t>
  </si>
  <si>
    <t>IV curve sweep voltage 21</t>
  </si>
  <si>
    <t>IVCurve_Current21</t>
  </si>
  <si>
    <t>IV curve scan current 21</t>
  </si>
  <si>
    <t>IVCurve_Voltage22</t>
  </si>
  <si>
    <t>IV curve scan voltage 22</t>
  </si>
  <si>
    <t>IVCurve_Current22</t>
  </si>
  <si>
    <t>IV curve scan current 22</t>
  </si>
  <si>
    <t>IVCurve_Voltage23</t>
  </si>
  <si>
    <t>IV curve scan voltage 23</t>
  </si>
  <si>
    <t>IVCurve_Current23</t>
  </si>
  <si>
    <t>IV curve scan current 23</t>
  </si>
  <si>
    <t>IVCurve_Voltage24</t>
  </si>
  <si>
    <t>IV curve sweep voltage 24</t>
  </si>
  <si>
    <t>IVCurve_Current24</t>
  </si>
  <si>
    <t>IV curve scan current 24</t>
  </si>
  <si>
    <t>IVCurve_Voltage25</t>
  </si>
  <si>
    <t>IV curve sweep voltage 25</t>
  </si>
  <si>
    <t>IVCurve_Current25</t>
  </si>
  <si>
    <t>IV curve scan current 25</t>
  </si>
  <si>
    <t>IVCurve_Voltage26</t>
  </si>
  <si>
    <t>IV curve sweep voltage 26</t>
  </si>
  <si>
    <t>IVCurve_Current26</t>
  </si>
  <si>
    <t>IV curve scan current 26</t>
  </si>
  <si>
    <t>IVCurve_Voltage27</t>
  </si>
  <si>
    <t>IV curve scan voltage 27</t>
  </si>
  <si>
    <t>IVCurve_Current27</t>
  </si>
  <si>
    <t>IV curve scan current 27</t>
  </si>
  <si>
    <t>IVCurve_Voltage28</t>
  </si>
  <si>
    <t>IV curve sweep voltage 28</t>
  </si>
  <si>
    <t>IVCurve_Current28</t>
  </si>
  <si>
    <t>IV curve scan current 28</t>
  </si>
  <si>
    <t>IVCurve_Voltage29</t>
  </si>
  <si>
    <t>IV curve sweep voltage 29</t>
  </si>
  <si>
    <t>IVCurve_Current29</t>
  </si>
  <si>
    <t>IV curve scan current 29</t>
  </si>
  <si>
    <t>IVCurve_Voltage30</t>
  </si>
  <si>
    <t>IV curve sweep voltage 30</t>
  </si>
  <si>
    <t>IVCurve_Current30</t>
  </si>
  <si>
    <t>IV curve scan current 30</t>
  </si>
  <si>
    <t>AddressMask_Config_ReadOnly_Result3</t>
  </si>
  <si>
    <t>IVCurve_Voltage31</t>
  </si>
  <si>
    <t>IV curve sweep voltage 31</t>
  </si>
  <si>
    <t>IVCurve_Current31</t>
  </si>
  <si>
    <t>IV curve scan current 31</t>
  </si>
  <si>
    <t>IVCurve_Voltage32</t>
  </si>
  <si>
    <t>IV curve scan voltage 32</t>
  </si>
  <si>
    <t>IVCurve_Current32</t>
  </si>
  <si>
    <t>IV curve scan current 32</t>
  </si>
  <si>
    <t>IVCurve_Voltage33</t>
  </si>
  <si>
    <t>IV curve sweep voltage 33</t>
  </si>
  <si>
    <t>IVCurve_Current33</t>
  </si>
  <si>
    <t>IV curve scan current 33</t>
  </si>
  <si>
    <t>IVCurve_Voltage34</t>
  </si>
  <si>
    <t>IV curve sweep voltage 34</t>
  </si>
  <si>
    <t>IVCurve_Current34</t>
  </si>
  <si>
    <t>IV curve scan current 34</t>
  </si>
  <si>
    <t>IVCurve_Voltage35</t>
  </si>
  <si>
    <t>IV curve scan voltage 35</t>
  </si>
  <si>
    <t>IVCurve_Current35</t>
  </si>
  <si>
    <t>IV curve scan current 35</t>
  </si>
  <si>
    <t>IVCurve_Voltage36</t>
  </si>
  <si>
    <t>IV curve scan voltage 36</t>
  </si>
  <si>
    <t>IVCurve_Current36</t>
  </si>
  <si>
    <t>IV curve scan current 36</t>
  </si>
  <si>
    <t>IVCurve_Voltage37</t>
  </si>
  <si>
    <t>IV curve sweep voltage 37</t>
  </si>
  <si>
    <t>IVCurve_Current37</t>
  </si>
  <si>
    <t>IV curve scan current 37</t>
  </si>
  <si>
    <t>IVCurve_Voltage38</t>
  </si>
  <si>
    <t>IV curve sweep voltage 38</t>
  </si>
  <si>
    <t>IVCurve_Current38</t>
  </si>
  <si>
    <t>IV curve scan current 38</t>
  </si>
  <si>
    <t>IVCurve_Voltage39</t>
  </si>
  <si>
    <t>IV curve sweep voltage 39</t>
  </si>
  <si>
    <t>IVCurve_Current39</t>
  </si>
  <si>
    <t>IV curve scan current 39</t>
  </si>
  <si>
    <t>IVCurve_Voltage40</t>
  </si>
  <si>
    <t>IV curve sweep voltage 40</t>
  </si>
  <si>
    <t>IVCurve_Current40</t>
  </si>
  <si>
    <t>IV curve scan current 40</t>
  </si>
  <si>
    <t>IVCurve_Voltage41</t>
  </si>
  <si>
    <t>IV curve sweep voltage 41</t>
  </si>
  <si>
    <t>IVCurve_Current41</t>
  </si>
  <si>
    <t>IV curve scan current 41</t>
  </si>
  <si>
    <t>IVCurve_Voltage42</t>
  </si>
  <si>
    <t>IV curve sweep voltage 42</t>
  </si>
  <si>
    <t>IVCurve_Current42</t>
  </si>
  <si>
    <t>IV curve scan current 42</t>
  </si>
  <si>
    <t>IVCurve_Voltage43</t>
  </si>
  <si>
    <t>IV curve scan voltage 43</t>
  </si>
  <si>
    <t>IVCurve_Current43</t>
  </si>
  <si>
    <t>IV curve scan current 43</t>
  </si>
  <si>
    <t>IVCurve_Voltage44</t>
  </si>
  <si>
    <t>IV curve sweep voltage 44</t>
  </si>
  <si>
    <t>IVCurve_Current44</t>
  </si>
  <si>
    <t>IV curve scan current 44</t>
  </si>
  <si>
    <t>IVCurve_Voltage45</t>
  </si>
  <si>
    <t>IV curve sweep voltage 45</t>
  </si>
  <si>
    <t>IVCurve_Current45</t>
  </si>
  <si>
    <t>IV curve scan current 45</t>
  </si>
  <si>
    <t>IVCurve_Voltage46</t>
  </si>
  <si>
    <t>IV curve scan voltage 46</t>
  </si>
  <si>
    <t>IVCurve_Current46</t>
  </si>
  <si>
    <t>IV curve scan current 46</t>
  </si>
  <si>
    <t>IVCurve_Voltage47</t>
  </si>
  <si>
    <t>IV curve scan voltage 47</t>
  </si>
  <si>
    <t>IVCurve_Current47</t>
  </si>
  <si>
    <t>IV curve scan current 47</t>
  </si>
  <si>
    <t>IVCurve_Voltage48</t>
  </si>
  <si>
    <t>IV curve scan voltage 48</t>
  </si>
  <si>
    <t>IVCurve_Current48</t>
  </si>
  <si>
    <t>IV curve scan current 48</t>
  </si>
  <si>
    <t>IVCurve_Voltage49</t>
  </si>
  <si>
    <t>IV curve sweep voltage 49</t>
  </si>
  <si>
    <t>IVCurve_Current49</t>
  </si>
  <si>
    <t>IV curve scan current 49</t>
  </si>
  <si>
    <t>IVCurve_Voltage50</t>
  </si>
  <si>
    <t>IV curve sweep voltage 50</t>
  </si>
  <si>
    <t>IVCurve_Current50</t>
  </si>
  <si>
    <t>IV curve scan current 50</t>
  </si>
  <si>
    <t>IVCurve_Voltage51</t>
  </si>
  <si>
    <t>IV curve scan voltage 51</t>
  </si>
  <si>
    <t>IVCurve_Current51</t>
  </si>
  <si>
    <t>IV curve scan current 51</t>
  </si>
  <si>
    <t>IVCurve_Voltage52</t>
  </si>
  <si>
    <t>IV curve scan voltage 52</t>
  </si>
  <si>
    <t>IVCurve_Current52</t>
  </si>
  <si>
    <t>IV curve scan current 52</t>
  </si>
  <si>
    <t>IVCurve_Voltage53</t>
  </si>
  <si>
    <t>IV curve sweep voltage 53</t>
  </si>
  <si>
    <t>IVCurve_Current53</t>
  </si>
  <si>
    <t>IV curve scan current 53</t>
  </si>
  <si>
    <t>IVCurve_Voltage54</t>
  </si>
  <si>
    <t>IV curve sweep voltage 54</t>
  </si>
  <si>
    <t>IVCurve_Current54</t>
  </si>
  <si>
    <t>IV curve scan current 54</t>
  </si>
  <si>
    <t>IVCurve_Voltage55</t>
  </si>
  <si>
    <t>IV curve sweep voltage 55</t>
  </si>
  <si>
    <t>IVCurve_Current55</t>
  </si>
  <si>
    <t>IV curve scan current 55</t>
  </si>
  <si>
    <t>IVCurve_Voltage56</t>
  </si>
  <si>
    <t>IV curve sweep voltage 56</t>
  </si>
  <si>
    <t>IVCurve_Current56</t>
  </si>
  <si>
    <t>IV curve scan current 56</t>
  </si>
  <si>
    <t>IVCurve_Voltage57</t>
  </si>
  <si>
    <t>IV curve sweep voltage 57</t>
  </si>
  <si>
    <t>IVCurve_Current57</t>
  </si>
  <si>
    <t>IV curve scan current 57</t>
  </si>
  <si>
    <t>IVCurve_Voltage58</t>
  </si>
  <si>
    <t>IV curve sweep voltage 58</t>
  </si>
  <si>
    <t>IVCurve_Current58</t>
  </si>
  <si>
    <t>IV curve scan current 58</t>
  </si>
  <si>
    <t>IVCurve_Voltage59</t>
  </si>
  <si>
    <t>IV curve sweep voltage 59</t>
  </si>
  <si>
    <t>IVCurve_Current59</t>
  </si>
  <si>
    <t>IV curve scan current 59</t>
  </si>
  <si>
    <t>IVCurve_Voltage60</t>
  </si>
  <si>
    <t>IV curve sweep voltage 60</t>
  </si>
  <si>
    <t>IVCurve_Current60</t>
  </si>
  <si>
    <t>IV curve scan current 60</t>
  </si>
  <si>
    <t>AddressMask_Config_ReadOnly_Result4</t>
  </si>
  <si>
    <t>IVCurve_Voltage61</t>
  </si>
  <si>
    <t>IV curve sweep voltage 61</t>
  </si>
  <si>
    <t>IVCurve_Current61</t>
  </si>
  <si>
    <t>IV curve scan current 61</t>
  </si>
  <si>
    <t>IVCurve_Voltage62</t>
  </si>
  <si>
    <t>IV curve scan voltage 62</t>
  </si>
  <si>
    <t>IVCurve_Current62</t>
  </si>
  <si>
    <t>IV curve scan current 62</t>
  </si>
  <si>
    <t>IVCurve_Voltage63</t>
  </si>
  <si>
    <t>IV curve scan voltage 63</t>
  </si>
  <si>
    <t>IVCurve_Current63</t>
  </si>
  <si>
    <t>IV curve scan current 63</t>
  </si>
  <si>
    <t>IVCurve_Voltage64</t>
  </si>
  <si>
    <t>IV curve scan voltage 64</t>
  </si>
  <si>
    <t>IVCurve_Current64</t>
  </si>
  <si>
    <t>IV curve scan current 64</t>
  </si>
  <si>
    <t>IVCurve_Voltage65</t>
  </si>
  <si>
    <t>IV curve sweep voltage 65</t>
  </si>
  <si>
    <t>IVCurve_Current65</t>
  </si>
  <si>
    <t>IV curve scan current 65</t>
  </si>
  <si>
    <t>IVCurve_Voltage66</t>
  </si>
  <si>
    <t>IV curve sweep voltage 66</t>
  </si>
  <si>
    <t>IVCurve_Current66</t>
  </si>
  <si>
    <t>IV curve scan current 66</t>
  </si>
  <si>
    <t>IVCurve_Voltage67</t>
  </si>
  <si>
    <t>IV curve sweep voltage 67</t>
  </si>
  <si>
    <t>IVCurve_Current67</t>
  </si>
  <si>
    <t>IV curve scan current 67</t>
  </si>
  <si>
    <t>IVCurve_Voltage68</t>
  </si>
  <si>
    <t>IV curve scan voltage 68</t>
  </si>
  <si>
    <t>IVCurve_Current68</t>
  </si>
  <si>
    <t>IV curve scan current 68</t>
  </si>
  <si>
    <t>IVCurve_Voltage69</t>
  </si>
  <si>
    <t>IV curve sweep voltage 69</t>
  </si>
  <si>
    <t>IVCurve_Current69</t>
  </si>
  <si>
    <t>IV curve scan current 69</t>
  </si>
  <si>
    <t>IVCurve_Voltage70</t>
  </si>
  <si>
    <t>IV curve sweep voltage 70</t>
  </si>
  <si>
    <t>IVCurve_Current70</t>
  </si>
  <si>
    <t>IV curve scan current 70</t>
  </si>
  <si>
    <t>IVCurve_Voltage71</t>
  </si>
  <si>
    <t>IV curve sweep voltage 71</t>
  </si>
  <si>
    <t>IVCurve_Current71</t>
  </si>
  <si>
    <t>IV curve scan current 71</t>
  </si>
  <si>
    <t>IVCurve_Voltage72</t>
  </si>
  <si>
    <t>IV curve scan voltage 72</t>
  </si>
  <si>
    <t>IVCurve_Current72</t>
  </si>
  <si>
    <t>IV curve scan current 72</t>
  </si>
  <si>
    <t>IVCurve_Voltage73</t>
  </si>
  <si>
    <t>IV curve sweep voltage 73</t>
  </si>
  <si>
    <t>IVCurve_Current73</t>
  </si>
  <si>
    <t>IV curve scan current 73</t>
  </si>
  <si>
    <t>IVCurve_Voltage74</t>
  </si>
  <si>
    <t>IV curve sweep voltage 74</t>
  </si>
  <si>
    <t>IVCurve_Current74</t>
  </si>
  <si>
    <t>IV curve scan current 74</t>
  </si>
  <si>
    <t>IVCurve_Voltage75</t>
  </si>
  <si>
    <t>IV curve sweep voltage 75</t>
  </si>
  <si>
    <t>IVCurve_Current75</t>
  </si>
  <si>
    <t>IV curve scan current 75</t>
  </si>
  <si>
    <t>IVCurve_Voltage76</t>
  </si>
  <si>
    <t>IV curve scan voltage 76</t>
  </si>
  <si>
    <t>IVCurve_Current76</t>
  </si>
  <si>
    <t>IV curve scan current 76</t>
  </si>
  <si>
    <t>IVCurve_Voltage77</t>
  </si>
  <si>
    <t>IV curve sweep voltage 77</t>
  </si>
  <si>
    <t>IVCurve_Current77</t>
  </si>
  <si>
    <t>IV curve scan current 77</t>
  </si>
  <si>
    <t>IVCurve_Voltage78</t>
  </si>
  <si>
    <t>IV curve sweep voltage 78</t>
  </si>
  <si>
    <t>IVCurve_Current78</t>
  </si>
  <si>
    <t>IV curve sweep current 78</t>
  </si>
  <si>
    <t>IVCurve_Voltage79</t>
  </si>
  <si>
    <t>IV curve sweep voltage 79</t>
  </si>
  <si>
    <t>IVCurve_Current79</t>
  </si>
  <si>
    <t>IV curve sweep current 79</t>
  </si>
  <si>
    <t>IVCurve_Voltage80</t>
  </si>
  <si>
    <t>IV curve sweep voltage 80</t>
  </si>
  <si>
    <t>IVCurve_Current80</t>
  </si>
  <si>
    <t>IV curve sweep current 80</t>
  </si>
  <si>
    <t>IVCurve_Voltage81</t>
  </si>
  <si>
    <t>IV curve sweep voltage 81</t>
  </si>
  <si>
    <t>IVCurve_Current81</t>
  </si>
  <si>
    <t>IV curve sweep current 81</t>
  </si>
  <si>
    <t>IVCurve_Voltage82</t>
  </si>
  <si>
    <t>IV curve sweep voltage 82</t>
  </si>
  <si>
    <t>IVCurve_Current82</t>
  </si>
  <si>
    <t>IV curve scan current 82</t>
  </si>
  <si>
    <t>IVCurve_Voltage83</t>
  </si>
  <si>
    <t>IV curve sweep voltage 83</t>
  </si>
  <si>
    <t>IVCurve_Current83</t>
  </si>
  <si>
    <t>IV curve sweep current 83</t>
  </si>
  <si>
    <t>IVCurve_Voltage84</t>
  </si>
  <si>
    <t>IV curve sweep voltage 84</t>
  </si>
  <si>
    <t>IVCurve_Current84</t>
  </si>
  <si>
    <t>IV curve sweep current 84</t>
  </si>
  <si>
    <t>IVCurve_Voltage85</t>
  </si>
  <si>
    <t>IV curve sweep voltage 85</t>
  </si>
  <si>
    <t>IVCurve_Current85</t>
  </si>
  <si>
    <t>IV curve sweep current 85</t>
  </si>
  <si>
    <t>IVCurve_Voltage86</t>
  </si>
  <si>
    <t>IV curve sweep voltage 86</t>
  </si>
  <si>
    <t>IVCurve_Current86</t>
  </si>
  <si>
    <t>IV curve scan current 86</t>
  </si>
  <si>
    <t>IVCurve_Voltage87</t>
  </si>
  <si>
    <t>IV curve sweep voltage 87</t>
  </si>
  <si>
    <t>IVCurve_Current87</t>
  </si>
  <si>
    <t>IV curve scan current 87</t>
  </si>
  <si>
    <t>IVCurve_Voltage88</t>
  </si>
  <si>
    <t>IV curve sweep voltage 88</t>
  </si>
  <si>
    <t>IVCurve_Current88</t>
  </si>
  <si>
    <t>IV curve sweep current 88</t>
  </si>
  <si>
    <t>IVCurve_Voltage89</t>
  </si>
  <si>
    <t>IV curve sweep voltage 89</t>
  </si>
  <si>
    <t>IVCurve_Current89</t>
  </si>
  <si>
    <t>IV curve scan current 89</t>
  </si>
  <si>
    <t>IVCurve_Voltage90</t>
  </si>
  <si>
    <t>IV curve sweep voltage 90</t>
  </si>
  <si>
    <t>IVCurve_Current90</t>
  </si>
  <si>
    <t>IV curve sweep current 90</t>
  </si>
  <si>
    <t>AddressMask_Config_ReadOnly_Result5</t>
  </si>
  <si>
    <t>IVCurve_Voltage91</t>
  </si>
  <si>
    <t>IV curve sweep voltage 91</t>
  </si>
  <si>
    <t>IVCurve_Current91</t>
  </si>
  <si>
    <t>IV curve sweep current 91</t>
  </si>
  <si>
    <t>IVCurve_Voltage92</t>
  </si>
  <si>
    <t>IV curve sweep voltage 92</t>
  </si>
  <si>
    <t>IVCurve_Current92</t>
  </si>
  <si>
    <t>IV curve scan current 92</t>
  </si>
  <si>
    <t>IVCurve_Voltage93</t>
  </si>
  <si>
    <t>IV curve sweep voltage 93</t>
  </si>
  <si>
    <t>IVCurve_Current93</t>
  </si>
  <si>
    <t>IV curve sweep current 93</t>
  </si>
  <si>
    <t>IVCurve_Voltage94</t>
  </si>
  <si>
    <t>IV curve sweep voltage 94</t>
  </si>
  <si>
    <t>IVCurve_Current94</t>
  </si>
  <si>
    <t>IV curve scan current 94</t>
  </si>
  <si>
    <t>IVCurve_Voltage95</t>
  </si>
  <si>
    <t>IV curve sweep voltage 95</t>
  </si>
  <si>
    <t>IVCurve_Current95</t>
  </si>
  <si>
    <t>IV curve sweep current 95</t>
  </si>
  <si>
    <t>IVCurve_Voltage96</t>
  </si>
  <si>
    <t>IV curve sweep voltage 96</t>
  </si>
  <si>
    <t>IVCurve_Current96</t>
  </si>
  <si>
    <t>IV curve scan current 96</t>
  </si>
  <si>
    <t>IVCurve_Voltage97</t>
  </si>
  <si>
    <t>IV curve sweep voltage 97</t>
  </si>
  <si>
    <t>IVCurve_Current97</t>
  </si>
  <si>
    <t>IV curve scan current 97</t>
  </si>
  <si>
    <t>IVCurve_Voltage98</t>
  </si>
  <si>
    <t>IV curve sweep voltage 98</t>
  </si>
  <si>
    <t>IVCurve_Current98</t>
  </si>
  <si>
    <t>IV curve scan current 98</t>
  </si>
  <si>
    <t>IVCurve_Voltage99</t>
  </si>
  <si>
    <t>IV curve sweep voltage 99</t>
  </si>
  <si>
    <t>IVCurve_Current99</t>
  </si>
  <si>
    <t>IV curve sweep current 99</t>
  </si>
  <si>
    <t>IVCurve_Voltage100</t>
  </si>
  <si>
    <t>IV curve sweep voltage 100</t>
  </si>
  <si>
    <t>IVCurve_Current100</t>
  </si>
  <si>
    <t>IV curve sweep current 100</t>
  </si>
  <si>
    <t>IVCurve_Voltage101</t>
  </si>
  <si>
    <t>IV curve sweep voltage 101</t>
  </si>
  <si>
    <t>IVCurve_Current101</t>
  </si>
  <si>
    <t>IV curve sweep current 101</t>
  </si>
  <si>
    <t>IVCurve_Voltage102</t>
  </si>
  <si>
    <t>IV curve sweep voltage 102</t>
  </si>
  <si>
    <t>IVCurve_Current102</t>
  </si>
  <si>
    <t>IV curve scan current 102</t>
  </si>
  <si>
    <t>IVCurve_Voltage103</t>
  </si>
  <si>
    <t>IV curve sweep voltage 103</t>
  </si>
  <si>
    <t>IVCurve_Current103</t>
  </si>
  <si>
    <t>IV curve scan current 103</t>
  </si>
  <si>
    <t>IVCurve_Voltage104</t>
  </si>
  <si>
    <t>IV curve sweep voltage 104</t>
  </si>
  <si>
    <t>IVCurve_Current104</t>
  </si>
  <si>
    <t>IV curve scan current 104</t>
  </si>
  <si>
    <t>IVCurve_Voltage105</t>
  </si>
  <si>
    <t>IV curve sweep voltage 105</t>
  </si>
  <si>
    <t>IVCurve_Current105</t>
  </si>
  <si>
    <t>IV curve scan current 105</t>
  </si>
  <si>
    <t>IVCurve_Voltage106</t>
  </si>
  <si>
    <t>IV curve sweep voltage 106</t>
  </si>
  <si>
    <t>IVCurve_Current106</t>
  </si>
  <si>
    <t>IV curve scan current 106</t>
  </si>
  <si>
    <t>IVCurve_Voltage107</t>
  </si>
  <si>
    <t>IV curve sweep voltage 107</t>
  </si>
  <si>
    <t>IVCurve_Current107</t>
  </si>
  <si>
    <t>IV curve scan current 107</t>
  </si>
  <si>
    <t>IVCurve_Voltage108</t>
  </si>
  <si>
    <t>IV curve sweep voltage 108</t>
  </si>
  <si>
    <t>IVCurve_Current108</t>
  </si>
  <si>
    <t>IV curve sweep current 108</t>
  </si>
  <si>
    <t>IVCurve_Voltage109</t>
  </si>
  <si>
    <t>IV curve sweep voltage 109</t>
  </si>
  <si>
    <t>IVCurve_Current109</t>
  </si>
  <si>
    <t>IV curve scan current 109</t>
  </si>
  <si>
    <t>IVCurve_Voltage110</t>
  </si>
  <si>
    <t>IV curve sweep voltage 110</t>
  </si>
  <si>
    <t>IVCurve_Current110</t>
  </si>
  <si>
    <t>IV curve scan current 110</t>
  </si>
  <si>
    <t>IVCurve_Voltage111</t>
  </si>
  <si>
    <t>IV curve sweep voltage 111</t>
  </si>
  <si>
    <t>IVCurve_Current111</t>
  </si>
  <si>
    <t>IV curve scan current 111</t>
  </si>
  <si>
    <t>IVCurve_Voltage112</t>
  </si>
  <si>
    <t>IV curve sweep voltage 112</t>
  </si>
  <si>
    <t>IVCurve_Current112</t>
  </si>
  <si>
    <t>IV curve scan current 112</t>
  </si>
  <si>
    <t>IVCurve_Voltage113</t>
  </si>
  <si>
    <t>IV curve sweep voltage 113</t>
  </si>
  <si>
    <t>IVCurve_Current113</t>
  </si>
  <si>
    <t>IV curve scan current 113</t>
  </si>
  <si>
    <t>IVCurve_Voltage114</t>
  </si>
  <si>
    <t>IV curve sweep voltage 114</t>
  </si>
  <si>
    <t>IVCurve_Current114</t>
  </si>
  <si>
    <t>IV curve sweep current 114</t>
  </si>
  <si>
    <t>IVCurve_Voltage115</t>
  </si>
  <si>
    <t>IV curve sweep voltage 115</t>
  </si>
  <si>
    <t>IVCurve_Current115</t>
  </si>
  <si>
    <t>IV curve sweep current 115</t>
  </si>
  <si>
    <t>IVCurve_Voltage116</t>
  </si>
  <si>
    <t>IV curve sweep voltage 116</t>
  </si>
  <si>
    <t>IVCurve_Current116</t>
  </si>
  <si>
    <t>IV curve scan current 116</t>
  </si>
  <si>
    <t>IVCurve_Voltage117</t>
  </si>
  <si>
    <t>IV curve sweep voltage 117</t>
  </si>
  <si>
    <t>IVCurve_Current117</t>
  </si>
  <si>
    <t>IV curve scan current 117</t>
  </si>
  <si>
    <t>IVCurve_Voltage118</t>
  </si>
  <si>
    <t>IV curve sweep voltage 118</t>
  </si>
  <si>
    <t>IVCurve_Current118</t>
  </si>
  <si>
    <t>IV curve scan current 118</t>
  </si>
  <si>
    <t>IVCurve_Voltage119</t>
  </si>
  <si>
    <t>IV curve sweep voltage 119</t>
  </si>
  <si>
    <t>IVCurve_Current119</t>
  </si>
  <si>
    <t>IV curve scan current 119</t>
  </si>
  <si>
    <t>IVCurve_Voltage120</t>
  </si>
  <si>
    <t>IV curve sweep voltage 120</t>
  </si>
  <si>
    <t>IVCurve_Current120</t>
  </si>
  <si>
    <t>IV curve sweep current 120</t>
  </si>
  <si>
    <t>AddressMask_Config_ReadOnly_Result6</t>
  </si>
  <si>
    <t>IVCurve_Voltage121</t>
  </si>
  <si>
    <t>IV curve sweep voltage 121</t>
  </si>
  <si>
    <t>IVCurve_Current121</t>
  </si>
  <si>
    <t>IV curve scan current 121</t>
  </si>
  <si>
    <t>IVCurve_Voltage122</t>
  </si>
  <si>
    <t>IV curve scan voltage 122</t>
  </si>
  <si>
    <t>IVCurve_Current122</t>
  </si>
  <si>
    <t>IV curve scan current 122</t>
  </si>
  <si>
    <t>IVCurve_Voltage123</t>
  </si>
  <si>
    <t>IV curve scan voltage 123</t>
  </si>
  <si>
    <t>IVCurve_Current123</t>
  </si>
  <si>
    <t>IV curve scan current 123</t>
  </si>
  <si>
    <t>IVCurve_Voltage124</t>
  </si>
  <si>
    <t>IV curve scan voltage 124</t>
  </si>
  <si>
    <t>IVCurve_Current124</t>
  </si>
  <si>
    <t>IV curve scan current 124</t>
  </si>
  <si>
    <t>IVCurve_Voltage125</t>
  </si>
  <si>
    <t>IV curve sweep voltage 125</t>
  </si>
  <si>
    <t>IVCurve_Current125</t>
  </si>
  <si>
    <t>IV curve sweep current 125</t>
  </si>
  <si>
    <t>IVCurve_Voltage126</t>
  </si>
  <si>
    <t>IV curve sweep voltage 126</t>
  </si>
  <si>
    <t>IVCurve_Current126</t>
  </si>
  <si>
    <t>IV curve scan current 126</t>
  </si>
  <si>
    <t>IVCurve_Voltage127</t>
  </si>
  <si>
    <t>IV curve sweep voltage 127</t>
  </si>
  <si>
    <t>IVCurve_Current127</t>
  </si>
  <si>
    <t>IV curve scan current 127</t>
  </si>
  <si>
    <t>IVCurve_Voltage128</t>
  </si>
  <si>
    <t>IV curve scan voltage 128</t>
  </si>
  <si>
    <t>IVCurve_Current128</t>
  </si>
  <si>
    <t>IV curve scan current 128</t>
  </si>
  <si>
    <t>IVCurve_Voltage129</t>
  </si>
  <si>
    <t>IV curve sweep voltage 129</t>
  </si>
  <si>
    <t>IVCurve_Current129</t>
  </si>
  <si>
    <t>IV curve scan current 129</t>
  </si>
  <si>
    <t>IVCurve_Voltage130</t>
  </si>
  <si>
    <t>IV curve sweep voltage 130</t>
  </si>
  <si>
    <t>IVCurve_Current130</t>
  </si>
  <si>
    <t>IV curve scan current 130</t>
  </si>
  <si>
    <t>IVCurve_Voltage131</t>
  </si>
  <si>
    <t>IV curve sweep voltage 131</t>
  </si>
  <si>
    <t>IVCurve_Current131</t>
  </si>
  <si>
    <t>IV curve scan current 131</t>
  </si>
  <si>
    <t>IVCurve_Voltage132</t>
  </si>
  <si>
    <t>IV curve sweep voltage 132</t>
  </si>
  <si>
    <t>IVCurve_Current132</t>
  </si>
  <si>
    <t>IV curve scan current 132</t>
  </si>
  <si>
    <t>IVCurve_Voltage133</t>
  </si>
  <si>
    <t>IV curve sweep voltage 133</t>
  </si>
  <si>
    <t>IVCurve_Current133</t>
  </si>
  <si>
    <t>IV curve scan current 133</t>
  </si>
  <si>
    <t>IVCurve_Voltage134</t>
  </si>
  <si>
    <t>IV curve sweep voltage 134</t>
  </si>
  <si>
    <t>IVCurve_Current134</t>
  </si>
  <si>
    <t>IV curve scan current 134</t>
  </si>
  <si>
    <t>IVCurve_Voltage135</t>
  </si>
  <si>
    <t>IV curve sweep voltage 135</t>
  </si>
  <si>
    <t>IVCurve_Current135</t>
  </si>
  <si>
    <t>IV curve scan current 135</t>
  </si>
  <si>
    <t>IVCurve_Voltage136</t>
  </si>
  <si>
    <t>IV curve scan voltage 136</t>
  </si>
  <si>
    <t>IVCurve_Current136</t>
  </si>
  <si>
    <t>IV curve scan current 136</t>
  </si>
  <si>
    <t>IVCurve_Voltage137</t>
  </si>
  <si>
    <t>IV curve sweep voltage 137</t>
  </si>
  <si>
    <t>IVCurve_Current137</t>
  </si>
  <si>
    <t>IV curve scan current 137</t>
  </si>
  <si>
    <t>IVCurve_Voltage138</t>
  </si>
  <si>
    <t>IV curve sweep voltage 138</t>
  </si>
  <si>
    <t>IVCurve_Current138</t>
  </si>
  <si>
    <t>IV curve scan current 138</t>
  </si>
  <si>
    <t>IVCurve_Voltage139</t>
  </si>
  <si>
    <t>IV curve sweep voltage 139</t>
  </si>
  <si>
    <t>IVCurve_Current139</t>
  </si>
  <si>
    <t>IV curve scan current 139</t>
  </si>
  <si>
    <t>IVCurve_Voltage140</t>
  </si>
  <si>
    <t>IV curve sweep voltage 140</t>
  </si>
  <si>
    <t>IVCurve_Current140</t>
  </si>
  <si>
    <t>IV curve sweep current 140</t>
  </si>
  <si>
    <t>IVCurve_Voltage141</t>
  </si>
  <si>
    <t>IV curve sweep voltage 141</t>
  </si>
  <si>
    <t>IVCurve_Current141</t>
  </si>
  <si>
    <t>IV curve scan current 141</t>
  </si>
  <si>
    <t>IVCurve_Voltage142</t>
  </si>
  <si>
    <t>IV curve sweep voltage 142</t>
  </si>
  <si>
    <t>IVCurve_Current142</t>
  </si>
  <si>
    <t>IV curve scan current 142</t>
  </si>
  <si>
    <t>IVCurve_Voltage143</t>
  </si>
  <si>
    <t>IV curve scan voltage 143</t>
  </si>
  <si>
    <t>IVCurve_Current143</t>
  </si>
  <si>
    <t>IV curve scan current 143</t>
  </si>
  <si>
    <t>IVCurve_Voltage144</t>
  </si>
  <si>
    <t>IV curve scan voltage 144</t>
  </si>
  <si>
    <t>IVCurve_Current144</t>
  </si>
  <si>
    <t>IV curve scan current 144</t>
  </si>
  <si>
    <t>IVCurve_Voltage145</t>
  </si>
  <si>
    <t>IV curve sweep voltage 145</t>
  </si>
  <si>
    <t>IVCurve_Current145</t>
  </si>
  <si>
    <t>IV curve scan current 145</t>
  </si>
  <si>
    <t>IVCurve_Voltage146</t>
  </si>
  <si>
    <t>IV curve sweep voltage 146</t>
  </si>
  <si>
    <t>IVCurve_Current146</t>
  </si>
  <si>
    <t>IV curve scan current 146</t>
  </si>
  <si>
    <t>IVCurve_Voltage147</t>
  </si>
  <si>
    <t>IV curve sweep voltage 147</t>
  </si>
  <si>
    <t>IVCurve_Current147</t>
  </si>
  <si>
    <t>IV curve scan current 147</t>
  </si>
  <si>
    <t>IVCurve_Voltage148</t>
  </si>
  <si>
    <t>IV curve sweep voltage 148</t>
  </si>
  <si>
    <t>IVCurve_Current148</t>
  </si>
  <si>
    <t>IV curve scan current 148</t>
  </si>
  <si>
    <t>IVCurve_Voltage149</t>
  </si>
  <si>
    <t>IV curve sweep voltage 149</t>
  </si>
  <si>
    <t>IVCurve_Current149</t>
  </si>
  <si>
    <t>IV curve scan current 149</t>
  </si>
  <si>
    <t>IVCurve_Voltage150</t>
  </si>
  <si>
    <t>IV curve sweep voltage 150</t>
  </si>
  <si>
    <t>IVCurve_Current150</t>
  </si>
  <si>
    <t>IV curve scan current 150</t>
  </si>
  <si>
    <t>HistoryEventList_ID1</t>
  </si>
  <si>
    <t>The latest 1st item of historical event ID</t>
  </si>
  <si>
    <t>HistoryEventList_yM1</t>
  </si>
  <si>
    <t xml:space="preserve">High byte: the lower two digits of the year's decimal number;
Low byte: month. </t>
  </si>
  <si>
    <t>HistoryEventList_dH1</t>
  </si>
  <si>
    <t>High byte: date;
Low byte: hour.</t>
  </si>
  <si>
    <t>HistoryEventList_ms1</t>
  </si>
  <si>
    <t>High byte: minutes;
Low byte: seconds.</t>
  </si>
  <si>
    <t>HistoryEventList_ID2</t>
  </si>
  <si>
    <t>The 2nd most recent historical event ID</t>
  </si>
  <si>
    <t>HistoryEventList_yM2</t>
  </si>
  <si>
    <t>HistoryEventList_dH2</t>
  </si>
  <si>
    <t>High byte: date;
Low byte: hour. "</t>
  </si>
  <si>
    <t>HistoryEventList_ms2</t>
  </si>
  <si>
    <t>HistoryEventList_ID3</t>
  </si>
  <si>
    <t>The 3rd most recent historical event ID</t>
  </si>
  <si>
    <t>HistoryEventList_yM3</t>
  </si>
  <si>
    <t>HistoryEventList_dH3</t>
  </si>
  <si>
    <t>HistoryEventList_ms3</t>
  </si>
  <si>
    <t>HistoryEventList_ID4</t>
  </si>
  <si>
    <t>The 4th most recent historical event ID</t>
  </si>
  <si>
    <t>HistoryEventList_yM4</t>
  </si>
  <si>
    <t>HistoryEventList_dH4</t>
  </si>
  <si>
    <t>HistoryEventList_ms4</t>
  </si>
  <si>
    <t>HistoryEventList_ID5</t>
  </si>
  <si>
    <t>The 5th most recent historical event ID</t>
  </si>
  <si>
    <t>HistoryEventList_yM5</t>
  </si>
  <si>
    <t>HistoryEventList_dH5</t>
  </si>
  <si>
    <t>HistoryEventList_ms5</t>
  </si>
  <si>
    <t>HistoryEventList_ID6</t>
  </si>
  <si>
    <t>The 6th most recent historical event ID</t>
  </si>
  <si>
    <t>HistoryEventList_yM6</t>
  </si>
  <si>
    <t>HistoryEventList_dH6</t>
  </si>
  <si>
    <t>HistoryEventList_ms6</t>
  </si>
  <si>
    <t>HistoryEventList_ID7</t>
  </si>
  <si>
    <t>The 7th most recent historical event ID</t>
  </si>
  <si>
    <t>HistoryEventList_yM7</t>
  </si>
  <si>
    <t>HistoryEventList_dH7</t>
  </si>
  <si>
    <t>HistoryEventList_ms7</t>
  </si>
  <si>
    <t>HistoryEventList_ID8</t>
  </si>
  <si>
    <t>The 8th most recent historical event ID</t>
  </si>
  <si>
    <t>HistoryEventList_yM8</t>
  </si>
  <si>
    <t>HistoryEventList_dH8</t>
  </si>
  <si>
    <t>HistoryEventList_ms8</t>
  </si>
  <si>
    <t>HistoryEventList_ID9</t>
  </si>
  <si>
    <t>The 9th most recent historical event ID</t>
  </si>
  <si>
    <t>HistoryEventList_yM9</t>
  </si>
  <si>
    <t>HistoryEventList_dH9</t>
  </si>
  <si>
    <t>HistoryEventList_ms9</t>
  </si>
  <si>
    <t>HistoryEventList_ID10</t>
  </si>
  <si>
    <t>The 10th most recent historical event ID</t>
  </si>
  <si>
    <t>HistoryEventList_yM10</t>
  </si>
  <si>
    <t>HistoryEventList_dH10</t>
  </si>
  <si>
    <t>HistoryEventList_ms10</t>
  </si>
  <si>
    <t>HistoryEventList_ID11</t>
  </si>
  <si>
    <t>The 11th most recent historical event ID</t>
  </si>
  <si>
    <t>HistoryEventList_yM11</t>
  </si>
  <si>
    <t>HistoryEventList_dH11</t>
  </si>
  <si>
    <t>HistoryEventList_ms11</t>
  </si>
  <si>
    <t>HistoryEventList_ID12</t>
  </si>
  <si>
    <t>The 12th most recent historical event ID</t>
  </si>
  <si>
    <t>HistoryEventList_yM12</t>
  </si>
  <si>
    <t>HistoryEventList_dH12</t>
  </si>
  <si>
    <t>HistoryEventList_ms12</t>
  </si>
  <si>
    <t>HistoryEventList_ID13</t>
  </si>
  <si>
    <t>The 13th most recent historical event ID</t>
  </si>
  <si>
    <t>HistoryEventList_yM13</t>
  </si>
  <si>
    <t>HistoryEventList_dH13</t>
  </si>
  <si>
    <t>HistoryEventList_ms13</t>
  </si>
  <si>
    <t>HistoryEventList_ID14</t>
  </si>
  <si>
    <t>The 14th most recent historical event ID</t>
  </si>
  <si>
    <t>HistoryEventList_yM14</t>
  </si>
  <si>
    <t>HistoryEventList_dH14</t>
  </si>
  <si>
    <t>HistoryEventList_ms14</t>
  </si>
  <si>
    <t>HistoryEventList_ID15</t>
  </si>
  <si>
    <t>The 15th most recent historical event ID</t>
  </si>
  <si>
    <t>HistoryEventList_yM15</t>
  </si>
  <si>
    <t>HistoryEventList_dH15</t>
  </si>
  <si>
    <t>HistoryEventList_ms15</t>
  </si>
  <si>
    <t>HistoryEventList_ID16</t>
  </si>
  <si>
    <t>The 16th most recent historical event ID</t>
  </si>
  <si>
    <t>HistoryEventList_yM16</t>
  </si>
  <si>
    <t>HistoryEventList_dH16</t>
  </si>
  <si>
    <t>HistoryEventList_ms16</t>
  </si>
  <si>
    <t>HistoryEventList_ID17</t>
  </si>
  <si>
    <t>The 17th most recent historical event ID</t>
  </si>
  <si>
    <t>HistoryEventList_yM17</t>
  </si>
  <si>
    <t>HistoryEventList_dH17</t>
  </si>
  <si>
    <t>HistoryEventList_ms17</t>
  </si>
  <si>
    <t>HistoryEventList_ID18</t>
  </si>
  <si>
    <t>The 18th most recent historical event ID</t>
  </si>
  <si>
    <t>HistoryEventList_yM18</t>
  </si>
  <si>
    <t>HistoryEventList_dH18</t>
  </si>
  <si>
    <t>HistoryEventList_ms18</t>
  </si>
  <si>
    <t>HistoryEventList_ID19</t>
  </si>
  <si>
    <t>The 19th most recent historical event ID</t>
  </si>
  <si>
    <t>HistoryEventList_yM19</t>
  </si>
  <si>
    <t>HistoryEventList_dH19</t>
  </si>
  <si>
    <t>HistoryEventList_ms19</t>
  </si>
  <si>
    <t>HistoryEventList_ID20</t>
  </si>
  <si>
    <t>The 20th most recent historical event ID</t>
  </si>
  <si>
    <t>HistoryEventList_yM20</t>
  </si>
  <si>
    <t>HistoryEventList_dH20</t>
  </si>
  <si>
    <t>HistoryEventList_ms20</t>
  </si>
  <si>
    <t>HistoryEventList_ID21</t>
  </si>
  <si>
    <t>The 21th most recent historical event ID</t>
  </si>
  <si>
    <t>HistoryEventList_yM21</t>
  </si>
  <si>
    <t>HistoryEventList_dH21</t>
  </si>
  <si>
    <t>HistoryEventList_ms21</t>
  </si>
  <si>
    <t>HistoryEventList_ID22</t>
  </si>
  <si>
    <t>The 22th most recent historical event ID</t>
  </si>
  <si>
    <t>HistoryEventList_yM22</t>
  </si>
  <si>
    <t>HistoryEventList_dH22</t>
  </si>
  <si>
    <t>HistoryEventList_ms22</t>
  </si>
  <si>
    <t>HistoryEventList_ID23</t>
  </si>
  <si>
    <t>The 23th most recent historical event ID</t>
  </si>
  <si>
    <t>HistoryEventList_yM23</t>
  </si>
  <si>
    <t>HistoryEventList_dH23</t>
  </si>
  <si>
    <t>HistoryEventList_ms23</t>
  </si>
  <si>
    <t>HistoryEventList_ID24</t>
  </si>
  <si>
    <t>The 24th most recent historical event ID</t>
  </si>
  <si>
    <t>HistoryEventList_yM24</t>
  </si>
  <si>
    <t>HistoryEventList_dH24</t>
  </si>
  <si>
    <t>HistoryEventList_ms24</t>
  </si>
  <si>
    <t>HistoryEventList_ID25</t>
  </si>
  <si>
    <t>The 25th most recent historical event ID</t>
  </si>
  <si>
    <t>HistoryEventList_yM25</t>
  </si>
  <si>
    <t>HistoryEventList_dH25</t>
  </si>
  <si>
    <t>HistoryEventList_ms25</t>
  </si>
  <si>
    <t>HistoryEventList_ID26</t>
  </si>
  <si>
    <t>The 26th most recent historical event ID</t>
  </si>
  <si>
    <t>HistoryEventList_yM26</t>
  </si>
  <si>
    <t>HistoryEventList_dH26</t>
  </si>
  <si>
    <t>HistoryEventList_ms26</t>
  </si>
  <si>
    <t>HistoryEventList_ID27</t>
  </si>
  <si>
    <t>The 27th most recent historical event ID</t>
  </si>
  <si>
    <t>HistoryEventList_yM27</t>
  </si>
  <si>
    <t>HistoryEventList_dH27</t>
  </si>
  <si>
    <t>HistoryEventList_ms27</t>
  </si>
  <si>
    <t>HistoryEventList_ID28</t>
  </si>
  <si>
    <t>The 28th most recent historical event ID</t>
  </si>
  <si>
    <t>HistoryEventList_yM28</t>
  </si>
  <si>
    <t>HistoryEventList_dH28</t>
  </si>
  <si>
    <t>HistoryEventList_ms28</t>
  </si>
  <si>
    <t>HistoryEventList_ID29</t>
  </si>
  <si>
    <t>The 29th most recent historical event ID</t>
  </si>
  <si>
    <t>HistoryEventList_yM29</t>
  </si>
  <si>
    <t>HistoryEventList_dH29</t>
  </si>
  <si>
    <t>HistoryEventList_ms29</t>
  </si>
  <si>
    <t>HistoryEventList_ID30</t>
  </si>
  <si>
    <t>The 30th most recent historical event ID</t>
  </si>
  <si>
    <t>HistoryEventList_yM30</t>
  </si>
  <si>
    <t>HistoryEventList_dH30</t>
  </si>
  <si>
    <t>HistoryEventList_ms30</t>
  </si>
  <si>
    <t>HistoryEventList_ID31</t>
  </si>
  <si>
    <t>The 31th most recent historical event ID</t>
  </si>
  <si>
    <t>HistoryEventList_yM31</t>
  </si>
  <si>
    <t>HistoryEventList_dH31</t>
  </si>
  <si>
    <t>HistoryEventList_ms31</t>
  </si>
  <si>
    <t>HistoryEventList_ID32</t>
  </si>
  <si>
    <t>The 32th most recent historical event ID</t>
  </si>
  <si>
    <t>HistoryEventList_yM32</t>
  </si>
  <si>
    <t>HistoryEventList_dH32</t>
  </si>
  <si>
    <t>HistoryEventList_ms32</t>
  </si>
  <si>
    <t>HistoryEventList_ID33</t>
  </si>
  <si>
    <t>The 33th most recent historical event ID</t>
  </si>
  <si>
    <t>HistoryEventList_yM33</t>
  </si>
  <si>
    <t>HistoryEventList_dH33</t>
  </si>
  <si>
    <t>HistoryEventList_ms33</t>
  </si>
  <si>
    <t>HistoryEventList_ID34</t>
  </si>
  <si>
    <t>The 34th most recent historical event ID</t>
  </si>
  <si>
    <t>HistoryEventList_yM34</t>
  </si>
  <si>
    <t>HistoryEventList_dH34</t>
  </si>
  <si>
    <t>HistoryEventList_ms34</t>
  </si>
  <si>
    <t>HistoryEventList_ID35</t>
  </si>
  <si>
    <t>The 35th most recent historical event ID</t>
  </si>
  <si>
    <t>HistoryEventList_yM35</t>
  </si>
  <si>
    <t>HistoryEventList_dH35</t>
  </si>
  <si>
    <t>HistoryEventList_ms35</t>
  </si>
  <si>
    <t>HistoryEventList_ID36</t>
  </si>
  <si>
    <t>The 36th most recent historical event ID</t>
  </si>
  <si>
    <t>HistoryEventList_yM36</t>
  </si>
  <si>
    <t>HistoryEventList_dH36</t>
  </si>
  <si>
    <t>HistoryEventList_ms36</t>
  </si>
  <si>
    <t>HistoryEventList_ID37</t>
  </si>
  <si>
    <t>The 37th most recent historical event ID</t>
  </si>
  <si>
    <t>HistoryEventList_yM37</t>
  </si>
  <si>
    <t>HistoryEventList_dH37</t>
  </si>
  <si>
    <t>HistoryEventList_ms37</t>
  </si>
  <si>
    <t>HistoryEventList_ID38</t>
  </si>
  <si>
    <t>The 38th most recent historical event ID</t>
  </si>
  <si>
    <t>HistoryEventList_yM38</t>
  </si>
  <si>
    <t>HistoryEventList_dH38</t>
  </si>
  <si>
    <t>HistoryEventList_ms38</t>
  </si>
  <si>
    <t>HistoryEventList_ID39</t>
  </si>
  <si>
    <t>The 39th most recent historical event ID</t>
  </si>
  <si>
    <t>HistoryEventList_yM39</t>
  </si>
  <si>
    <t>HistoryEventList_dH39</t>
  </si>
  <si>
    <t>HistoryEventList_ms39</t>
  </si>
  <si>
    <t>HistoryEventList_ID40</t>
  </si>
  <si>
    <t>The 40th most recent historical event ID</t>
  </si>
  <si>
    <t>HistoryEventList_yM40</t>
  </si>
  <si>
    <t>HistoryEventList_dH40</t>
  </si>
  <si>
    <t>HistoryEventList_ms40</t>
  </si>
  <si>
    <t>HistoryEventList_ID41</t>
  </si>
  <si>
    <t>The 41th most recent historical event ID</t>
  </si>
  <si>
    <t>HistoryEventList_yM41</t>
  </si>
  <si>
    <t>HistoryEventList_dH41</t>
  </si>
  <si>
    <t>HistoryEventList_ms41</t>
  </si>
  <si>
    <t>HistoryEventList_ID42</t>
  </si>
  <si>
    <t>The 42th most recent historical event ID</t>
  </si>
  <si>
    <t>HistoryEventList_yM42</t>
  </si>
  <si>
    <t>HistoryEventList_dH42</t>
  </si>
  <si>
    <t>HistoryEventList_ms42</t>
  </si>
  <si>
    <t>HistoryEventList_ID43</t>
  </si>
  <si>
    <t>The 43th most recent historical event ID</t>
  </si>
  <si>
    <t>HistoryEventList_yM43</t>
  </si>
  <si>
    <t>HistoryEventList_dH43</t>
  </si>
  <si>
    <t>HistoryEventList_ms43</t>
  </si>
  <si>
    <t>HistoryEventList_ID44</t>
  </si>
  <si>
    <t>The 44th most recent historical event ID</t>
  </si>
  <si>
    <t>HistoryEventList_yM44</t>
  </si>
  <si>
    <t>HistoryEventList_dH44</t>
  </si>
  <si>
    <t>HistoryEventList_ms44</t>
  </si>
  <si>
    <t>HistoryEventList_ID45</t>
  </si>
  <si>
    <t>The 45th most recent historical event ID</t>
  </si>
  <si>
    <t>HistoryEventList_yM45</t>
  </si>
  <si>
    <t>HistoryEventList_dH45</t>
  </si>
  <si>
    <t>HistoryEventList_ms45</t>
  </si>
  <si>
    <t>HistoryEventList_ID46</t>
  </si>
  <si>
    <t>The 46th most recent historical event ID</t>
  </si>
  <si>
    <t>HistoryEventList_yM46</t>
  </si>
  <si>
    <t>HistoryEventList_dH46</t>
  </si>
  <si>
    <t>HistoryEventList_ms46</t>
  </si>
  <si>
    <t>HistoryEventList_ID47</t>
  </si>
  <si>
    <t>The 47th most recent historical event ID</t>
  </si>
  <si>
    <t>HistoryEventList_yM47</t>
  </si>
  <si>
    <t>HistoryEventList_dH47</t>
  </si>
  <si>
    <t>HistoryEventList_ms47</t>
  </si>
  <si>
    <t>HistoryEventList_ID48</t>
  </si>
  <si>
    <t>The 48th most recent historical event ID</t>
  </si>
  <si>
    <t>HistoryEventList_yM48</t>
  </si>
  <si>
    <t>HistoryEventList_dH48</t>
  </si>
  <si>
    <t>HistoryEventList_ms48</t>
  </si>
  <si>
    <t>HistoryEventList_ID49</t>
  </si>
  <si>
    <t>The 49th most recent historical event ID</t>
  </si>
  <si>
    <t>HistoryEventList_yM49</t>
  </si>
  <si>
    <t>HistoryEventList_dH49</t>
  </si>
  <si>
    <t>HistoryEventList_ms49</t>
  </si>
  <si>
    <t>HistoryEventList_ID50</t>
  </si>
  <si>
    <t>The 50th most recent historical event ID</t>
  </si>
  <si>
    <t>HistoryEventList_yM50</t>
  </si>
  <si>
    <t>HistoryEventList_dH50</t>
  </si>
  <si>
    <t>HistoryEventList_ms50</t>
  </si>
  <si>
    <t>HistoryEventList_ID51</t>
  </si>
  <si>
    <t>The 51th most recent historical event ID</t>
  </si>
  <si>
    <t>HistoryEventList_yM51</t>
  </si>
  <si>
    <t>HistoryEventList_dH51</t>
  </si>
  <si>
    <t>HistoryEventList_ms51</t>
  </si>
  <si>
    <t>HistoryEventList_ID52</t>
  </si>
  <si>
    <t>The 52th most recent historical event ID</t>
  </si>
  <si>
    <t>HistoryEventList_yM52</t>
  </si>
  <si>
    <t>HistoryEventList_dH52</t>
  </si>
  <si>
    <t>HistoryEventList_ms52</t>
  </si>
  <si>
    <t>HistoryEventList_ID53</t>
  </si>
  <si>
    <t>The 53th most recent historical event ID</t>
  </si>
  <si>
    <t>HistoryEventList_yM53</t>
  </si>
  <si>
    <t>HistoryEventList_dH53</t>
  </si>
  <si>
    <t>HistoryEventList_ms53</t>
  </si>
  <si>
    <t>HistoryEventList_ID54</t>
  </si>
  <si>
    <t>The 54th most recent historical event ID</t>
  </si>
  <si>
    <t>HistoryEventList_yM54</t>
  </si>
  <si>
    <t>HistoryEventList_dH54</t>
  </si>
  <si>
    <t>HistoryEventList_ms54</t>
  </si>
  <si>
    <t>HistoryEventList_ID55</t>
  </si>
  <si>
    <t>The 55th most recent historical event ID</t>
  </si>
  <si>
    <t>HistoryEventList_yM55</t>
  </si>
  <si>
    <t>HistoryEventList_dH55</t>
  </si>
  <si>
    <t>HistoryEventList_ms55</t>
  </si>
  <si>
    <t>HistoryEventList_ID56</t>
  </si>
  <si>
    <t>The 56th most recent historical event ID</t>
  </si>
  <si>
    <t>HistoryEventList_yM56</t>
  </si>
  <si>
    <t>HistoryEventList_dH56</t>
  </si>
  <si>
    <t>HistoryEventList_ms56</t>
  </si>
  <si>
    <t>HistoryEventList_ID57</t>
  </si>
  <si>
    <t>The 57th most recent historical event ID</t>
  </si>
  <si>
    <t>HistoryEventList_yM57</t>
  </si>
  <si>
    <t>HistoryEventList_dH57</t>
  </si>
  <si>
    <t>HistoryEventList_ms57</t>
  </si>
  <si>
    <t>HistoryEventList_ID58</t>
  </si>
  <si>
    <t>The 58th most recent historical event ID</t>
  </si>
  <si>
    <t>HistoryEventList_yM58</t>
  </si>
  <si>
    <t>HistoryEventList_dH58</t>
  </si>
  <si>
    <t>HistoryEventList_ms58</t>
  </si>
  <si>
    <t>HistoryEventList_ID59</t>
  </si>
  <si>
    <t>The 59th most recent historical event ID</t>
  </si>
  <si>
    <t>HistoryEventList_yM59</t>
  </si>
  <si>
    <t>HistoryEventList_dH59</t>
  </si>
  <si>
    <t>HistoryEventList_ms59</t>
  </si>
  <si>
    <t>HistoryEventList_ID60</t>
  </si>
  <si>
    <t>The 60th most recent historical event ID</t>
  </si>
  <si>
    <t>HistoryEventList_yM60</t>
  </si>
  <si>
    <t>HistoryEventList_dH60</t>
  </si>
  <si>
    <t>HistoryEventList_ms60</t>
  </si>
  <si>
    <t>HistoryEventList_ID61</t>
  </si>
  <si>
    <t>The 61th most recent historical event ID</t>
  </si>
  <si>
    <t>HistoryEventList_yM61</t>
  </si>
  <si>
    <t>HistoryEventList_dH61</t>
  </si>
  <si>
    <t>HistoryEventList_ms61</t>
  </si>
  <si>
    <t>HistoryEventList_ID62</t>
  </si>
  <si>
    <t>The 62th most recent historical event ID</t>
  </si>
  <si>
    <t>HistoryEventList_yM62</t>
  </si>
  <si>
    <t>HistoryEventList_dH62</t>
  </si>
  <si>
    <t>HistoryEventList_ms62</t>
  </si>
  <si>
    <t>HistoryEventList_ID63</t>
  </si>
  <si>
    <t>The 63th most recent historical event ID</t>
  </si>
  <si>
    <t>HistoryEventList_yM63</t>
  </si>
  <si>
    <t>HistoryEventList_dH63</t>
  </si>
  <si>
    <t>HistoryEventList_ms63</t>
  </si>
  <si>
    <t>HistoryEventList_ID64</t>
  </si>
  <si>
    <t>The 64th most recent historical event ID</t>
  </si>
  <si>
    <t>HistoryEventList_yM64</t>
  </si>
  <si>
    <t>HistoryEventList_dH64</t>
  </si>
  <si>
    <t>HistoryEventList_ms64</t>
  </si>
  <si>
    <t>HistoryEventList_ID65</t>
  </si>
  <si>
    <t>The 65th most recent historical event ID</t>
  </si>
  <si>
    <t>HistoryEventList_yM65</t>
  </si>
  <si>
    <t>HistoryEventList_dH65</t>
  </si>
  <si>
    <t>HistoryEventList_ms65</t>
  </si>
  <si>
    <t>HistoryEventList_ID66</t>
  </si>
  <si>
    <t>The 66th most recent historical event ID</t>
  </si>
  <si>
    <t>HistoryEventList_yM66</t>
  </si>
  <si>
    <t>HistoryEventList_dH66</t>
  </si>
  <si>
    <t>HistoryEventList_ms66</t>
  </si>
  <si>
    <t>HistoryEventList_ID67</t>
  </si>
  <si>
    <t>The 67th most recent historical event ID</t>
  </si>
  <si>
    <t>HistoryEventList_yM67</t>
  </si>
  <si>
    <t>HistoryEventList_dH67</t>
  </si>
  <si>
    <t>HistoryEventList_ms67</t>
  </si>
  <si>
    <t>HistoryEventList_ID68</t>
  </si>
  <si>
    <t>The 68th most recent historical event ID</t>
  </si>
  <si>
    <t>HistoryEventList_yM68</t>
  </si>
  <si>
    <t>HistoryEventList_dH68</t>
  </si>
  <si>
    <t>HistoryEventList_ms68</t>
  </si>
  <si>
    <t>HistoryEventList_ID69</t>
  </si>
  <si>
    <t>The 69th most recent historical event ID</t>
  </si>
  <si>
    <t>HistoryEventList_yM69</t>
  </si>
  <si>
    <t>HistoryEventList_dH69</t>
  </si>
  <si>
    <t>HistoryEventList_ms69</t>
  </si>
  <si>
    <t>HistoryEventList_ID70</t>
  </si>
  <si>
    <t>The 70th most recent historical event ID</t>
  </si>
  <si>
    <t>HistoryEventList_yM70</t>
  </si>
  <si>
    <t>HistoryEventList_dH70</t>
  </si>
  <si>
    <t>HistoryEventList_ms70</t>
  </si>
  <si>
    <t>HistoryEventList_ID71</t>
  </si>
  <si>
    <t>The 71th most recent historical event ID</t>
  </si>
  <si>
    <t>HistoryEventList_yM71</t>
  </si>
  <si>
    <t>HistoryEventList_dH71</t>
  </si>
  <si>
    <t>HistoryEventList_ms71</t>
  </si>
  <si>
    <t>HistoryEventList_ID72</t>
  </si>
  <si>
    <t>The 72th most recent historical event ID</t>
  </si>
  <si>
    <t>HistoryEventList_yM72</t>
  </si>
  <si>
    <t>HistoryEventList_dH72</t>
  </si>
  <si>
    <t>HistoryEventList_ms72</t>
  </si>
  <si>
    <t>HistoryEventList_ID73</t>
  </si>
  <si>
    <t>The 73th most recent historical event ID</t>
  </si>
  <si>
    <t>HistoryEventList_yM73</t>
  </si>
  <si>
    <t>HistoryEventList_dH73</t>
  </si>
  <si>
    <t>HistoryEventList_ms73</t>
  </si>
  <si>
    <t>HistoryEventList_ID74</t>
  </si>
  <si>
    <t>The 74th most recent historical event ID</t>
  </si>
  <si>
    <t>HistoryEventList_yM74</t>
  </si>
  <si>
    <t>HistoryEventList_dH74</t>
  </si>
  <si>
    <t>HistoryEventList_ms74</t>
  </si>
  <si>
    <t>HistoryEventList_ID75</t>
  </si>
  <si>
    <t>The 75th most recent historical event ID</t>
  </si>
  <si>
    <t>HistoryEventList_yM75</t>
  </si>
  <si>
    <t>HistoryEventList_dH75</t>
  </si>
  <si>
    <t>HistoryEventList_ms75</t>
  </si>
  <si>
    <t>HistoryEventList_ID76</t>
  </si>
  <si>
    <t>The 76th most recent historical event ID</t>
  </si>
  <si>
    <t>HistoryEventList_yM76</t>
  </si>
  <si>
    <t>HistoryEventList_dH76</t>
  </si>
  <si>
    <t>HistoryEventList_ms76</t>
  </si>
  <si>
    <t>HistoryEventList_ID77</t>
  </si>
  <si>
    <t>The 77th most recent historical event ID</t>
  </si>
  <si>
    <t>HistoryEventList_yM77</t>
  </si>
  <si>
    <t>HistoryEventList_dH77</t>
  </si>
  <si>
    <t>HistoryEventList_ms77</t>
  </si>
  <si>
    <t>HistoryEventList_ID78</t>
  </si>
  <si>
    <t>The 78th most recent historical event ID</t>
  </si>
  <si>
    <t>HistoryEventList_yM78</t>
  </si>
  <si>
    <t>HistoryEventList_dH78</t>
  </si>
  <si>
    <t>HistoryEventList_ms78</t>
  </si>
  <si>
    <t>HistoryEventList_ID79</t>
  </si>
  <si>
    <t>The 79th most recent historical event ID</t>
  </si>
  <si>
    <t>HistoryEventList_yM79</t>
  </si>
  <si>
    <t>HistoryEventList_dH79</t>
  </si>
  <si>
    <t>HistoryEventList_ms79</t>
  </si>
  <si>
    <t>HistoryEventList_ID80</t>
  </si>
  <si>
    <t>The 80th most recent historical event ID</t>
  </si>
  <si>
    <t>HistoryEventList_yM80</t>
  </si>
  <si>
    <t>HistoryEventList_dH80</t>
  </si>
  <si>
    <t>HistoryEventList_ms80</t>
  </si>
  <si>
    <t>HistoryEventList_ID81</t>
  </si>
  <si>
    <t>The 81th most recent historical event ID</t>
  </si>
  <si>
    <t>HistoryEventList_yM81</t>
  </si>
  <si>
    <t>HistoryEventList_dH81</t>
  </si>
  <si>
    <t>HistoryEventList_ms81</t>
  </si>
  <si>
    <t>HistoryEventList_ID82</t>
  </si>
  <si>
    <t>The 82th most recent historical event ID</t>
  </si>
  <si>
    <t>HistoryEventList_yM82</t>
  </si>
  <si>
    <t>HistoryEventList_dH82</t>
  </si>
  <si>
    <t>HistoryEventList_ms82</t>
  </si>
  <si>
    <t>HistoryEventList_ID83</t>
  </si>
  <si>
    <t>The 83th most recent historical event ID</t>
  </si>
  <si>
    <t>HistoryEventList_yM83</t>
  </si>
  <si>
    <t>HistoryEventList_dH83</t>
  </si>
  <si>
    <t>HistoryEventList_ms83</t>
  </si>
  <si>
    <t>HistoryEventList_ID84</t>
  </si>
  <si>
    <t>The 84th most recent historical event ID</t>
  </si>
  <si>
    <t>HistoryEventList_yM84</t>
  </si>
  <si>
    <t>HistoryEventList_dH84</t>
  </si>
  <si>
    <t>HistoryEventList_ms84</t>
  </si>
  <si>
    <t>HistoryEventList_ID85</t>
  </si>
  <si>
    <t>The 85th most recent historical event ID</t>
  </si>
  <si>
    <t>HistoryEventList_yM85</t>
  </si>
  <si>
    <t>HistoryEventList_dH85</t>
  </si>
  <si>
    <t>HistoryEventList_ms85</t>
  </si>
  <si>
    <t>HistoryEventList_ID86</t>
  </si>
  <si>
    <t>The 86th most recent historical event ID</t>
  </si>
  <si>
    <t>HistoryEventList_yM86</t>
  </si>
  <si>
    <t>HistoryEventList_dH86</t>
  </si>
  <si>
    <t>HistoryEventList_ms86</t>
  </si>
  <si>
    <t>HistoryEventList_ID87</t>
  </si>
  <si>
    <t>The 87th most recent historical event ID</t>
  </si>
  <si>
    <t>HistoryEventList_yM87</t>
  </si>
  <si>
    <t>HistoryEventList_dH87</t>
  </si>
  <si>
    <t>HistoryEventList_ms87</t>
  </si>
  <si>
    <t>HistoryEventList_ID88</t>
  </si>
  <si>
    <t>The 88th most recent historical event ID</t>
  </si>
  <si>
    <t>HistoryEventList_yM88</t>
  </si>
  <si>
    <t>HistoryEventList_dH88</t>
  </si>
  <si>
    <t>HistoryEventList_ms88</t>
  </si>
  <si>
    <t>HistoryEventList_ID89</t>
  </si>
  <si>
    <t>The 89th most recent historical event ID</t>
  </si>
  <si>
    <t>HistoryEventList_yM89</t>
  </si>
  <si>
    <t>HistoryEventList_dH89</t>
  </si>
  <si>
    <t>HistoryEventList_ms89</t>
  </si>
  <si>
    <t>HistoryEventList_ID90</t>
  </si>
  <si>
    <t>The 90th most recent historical event ID</t>
  </si>
  <si>
    <t>HistoryEventList_yM90</t>
  </si>
  <si>
    <t>HistoryEventList_dH90</t>
  </si>
  <si>
    <t>HistoryEventList_ms90</t>
  </si>
  <si>
    <t>HistoryEventList_ID91</t>
  </si>
  <si>
    <t>The 91th most recent historical event ID</t>
  </si>
  <si>
    <t>HistoryEventList_yM91</t>
  </si>
  <si>
    <t>HistoryEventList_dH91</t>
  </si>
  <si>
    <t>HistoryEventList_ms91</t>
  </si>
  <si>
    <t>HistoryEventList_ID92</t>
  </si>
  <si>
    <t>The 92th most recent historical event ID</t>
  </si>
  <si>
    <t>HistoryEventList_yM92</t>
  </si>
  <si>
    <t>HistoryEventList_dH92</t>
  </si>
  <si>
    <t>HistoryEventList_ms92</t>
  </si>
  <si>
    <t>HistoryEventList_ID93</t>
  </si>
  <si>
    <t>The 93th most recent historical event ID</t>
  </si>
  <si>
    <t>HistoryEventList_yM93</t>
  </si>
  <si>
    <t>HistoryEventList_dH93</t>
  </si>
  <si>
    <t>HistoryEventList_ms93</t>
  </si>
  <si>
    <t>HistoryEventList_ID94</t>
  </si>
  <si>
    <t>The 94th most recent historical event ID</t>
  </si>
  <si>
    <t>HistoryEventList_yM94</t>
  </si>
  <si>
    <t>HistoryEventList_dH94</t>
  </si>
  <si>
    <t>HistoryEventList_ms94</t>
  </si>
  <si>
    <t>HistoryEventList_ID95</t>
  </si>
  <si>
    <t>The 95th most recent historical event ID</t>
  </si>
  <si>
    <t>HistoryEventList_yM95</t>
  </si>
  <si>
    <t>HistoryEventList_dH95</t>
  </si>
  <si>
    <t>HistoryEventList_ms95</t>
  </si>
  <si>
    <t>HistoryEventList_ID96</t>
  </si>
  <si>
    <t>The 96th most recent historical event ID</t>
  </si>
  <si>
    <t>HistoryEventList_yM96</t>
  </si>
  <si>
    <t>HistoryEventList_dH96</t>
  </si>
  <si>
    <t>HistoryEventList_ms96</t>
  </si>
  <si>
    <t>HistoryEventList_ID97</t>
  </si>
  <si>
    <t>The 97th most recent historical event ID</t>
  </si>
  <si>
    <t>HistoryEventList_yM97</t>
  </si>
  <si>
    <t>HistoryEventList_dH97</t>
  </si>
  <si>
    <t>HistoryEventList_ms97</t>
  </si>
  <si>
    <t>HistoryEventList_ID98</t>
  </si>
  <si>
    <t>The 98th most recent historical event ID</t>
  </si>
  <si>
    <t>HistoryEventList_yM98</t>
  </si>
  <si>
    <t>HistoryEventList_dH98</t>
  </si>
  <si>
    <t>HistoryEventList_ms98</t>
  </si>
  <si>
    <t>HistoryEventList_ID99</t>
  </si>
  <si>
    <t>The 99th most recent historical event ID</t>
  </si>
  <si>
    <t>HistoryEventList_yM99</t>
  </si>
  <si>
    <t>HistoryEventList_dH99</t>
  </si>
  <si>
    <t>HistoryEventList_ms99</t>
  </si>
  <si>
    <t>HistoryEventList_ID100</t>
  </si>
  <si>
    <t>The 100th most recent historical event ID</t>
  </si>
  <si>
    <t>HistoryEventList_yM100</t>
  </si>
  <si>
    <t>HistoryEventList_dH100</t>
  </si>
  <si>
    <t>HistoryEventList_ms100</t>
  </si>
  <si>
    <t>EnergyStatistics1</t>
  </si>
  <si>
    <t>Article 1 of historical electrical energy statistics.
The corresponding date and time refer to the setting register of energy statistics return.</t>
  </si>
  <si>
    <t>EnergyStatistics2</t>
  </si>
  <si>
    <t>Article 2 of historical electrical energy statistics.
The corresponding date and time refer to the setting register of energy statistics return.</t>
  </si>
  <si>
    <t>EnergyStatistics3</t>
  </si>
  <si>
    <t>Article 3 of historical electrical energy statistics.
The corresponding date and time refer to the setting register of energy statistics return.</t>
  </si>
  <si>
    <t>EnergyStatistics4</t>
  </si>
  <si>
    <t>Article 4 of historical electrical energy statistics.
The corresponding date and time refer to the setting register of energy statistics return.</t>
  </si>
  <si>
    <t>EnergyStatistics5</t>
  </si>
  <si>
    <t>Article 5 of historical electrical energy statistics.
The corresponding date and time refer to the setting register of energy statistics return.</t>
  </si>
  <si>
    <t>EnergyStatistics6</t>
  </si>
  <si>
    <t>Article 6 of historical electrical energy statistics.
The corresponding date and time refer to the setting register of energy statistics return.</t>
  </si>
  <si>
    <t>EnergyStatistics7</t>
  </si>
  <si>
    <t>Article 7 of historical electrical energy statistics.
The corresponding date and time refer to the setting register of energy statistics return.</t>
  </si>
  <si>
    <t>EnergyStatistics8</t>
  </si>
  <si>
    <t>Article 8 of historical electrical energy statistics.
The corresponding date and time refer to the setting register of energy statistics return.</t>
  </si>
  <si>
    <t>EnergyStatistics9</t>
  </si>
  <si>
    <t>Article 9 of historical electrical energy statistics.
The corresponding date and time refer to the setting register of energy statistics return.</t>
  </si>
  <si>
    <t>EnergyStatistics10</t>
  </si>
  <si>
    <t>Article 10 of historical electrical energy statistics.
The corresponding date and time refer to the setting register of energy statistics return.</t>
  </si>
  <si>
    <t>EnergyStatistics11</t>
  </si>
  <si>
    <t>Article 11 of historical electrical energy statistics.
The corresponding date and time refer to the setting register of energy statistics return.</t>
  </si>
  <si>
    <t>EnergyStatistics12</t>
  </si>
  <si>
    <t>Article 12 of historical electrical energy statistics.
The corresponding date and time refer to the setting register of energy statistics return.</t>
  </si>
  <si>
    <t>EnergyStatistics13</t>
  </si>
  <si>
    <t>Article 13 of historical electrical energy statistics.
The corresponding date and time refer to the setting register of energy statistics return.</t>
  </si>
  <si>
    <t>EnergyStatistics14</t>
  </si>
  <si>
    <t>Article 14 of historical electrical energy statistics.
The corresponding date and time refer to the setting register of energy statistics return.</t>
  </si>
  <si>
    <t>EnergyStatistics15</t>
  </si>
  <si>
    <t>Article 15 of historical electrical energy statistics.
The corresponding date and time refer to the setting register of energy statistics return.</t>
  </si>
  <si>
    <t>EnergyStatistics16</t>
  </si>
  <si>
    <t>Article 16 of historical electrical energy statistics.
The corresponding date and time refer to the setting register of energy statistics return.</t>
  </si>
  <si>
    <t>EnergyStatistics17</t>
  </si>
  <si>
    <t>Article 17 of historical electrical energy statistics.
The corresponding date and time refer to the setting register of energy statistics return.</t>
  </si>
  <si>
    <t>EnergyStatistics18</t>
  </si>
  <si>
    <t>Article 18 of historical electrical energy statistics.
The corresponding date and time refer to the setting register of energy statistics return.</t>
  </si>
  <si>
    <t>EnergyStatistics19</t>
  </si>
  <si>
    <t>Article 19 of historical electrical energy statistics.
The corresponding date and time refer to the setting register of energy statistics return.</t>
  </si>
  <si>
    <t>EnergyStatistics20</t>
  </si>
  <si>
    <t>Article 20 of historical electrical energy statistics.
The corresponding date and time refer to the setting register of energy statistics return.</t>
  </si>
  <si>
    <t>EnergyStatistics21</t>
  </si>
  <si>
    <t>Article 21 of historical electrical energy statistics.
The corresponding date and time refer to the setting register of energy statistics return.</t>
  </si>
  <si>
    <t>EnergyStatistics22</t>
  </si>
  <si>
    <t>Article 22 of historical electrical energy statistics.
The corresponding date and time refer to the setting register of energy statistics return.</t>
  </si>
  <si>
    <t>EnergyStatistics23</t>
  </si>
  <si>
    <t>Article 23 of historical electrical energy statistics.
The corresponding date and time refer to the setting register of energy statistics return.</t>
  </si>
  <si>
    <t>EnergyStatistics24</t>
  </si>
  <si>
    <t>Article 24 of historical electrical energy statistics.
The corresponding date and time refer to the setting register of energy statistics return.</t>
  </si>
  <si>
    <t>EnergyStatistics25</t>
  </si>
  <si>
    <t>Article 25 of historical electrical energy statistics.
The corresponding date and time refer to the setting register of energy statistics return.</t>
  </si>
  <si>
    <t>EnergyStatistics26</t>
  </si>
  <si>
    <t>Article 26 of historical electrical energy statistics.
The corresponding date and time refer to the setting register of energy statistics return.</t>
  </si>
  <si>
    <t>EnergyStatistics27</t>
  </si>
  <si>
    <t>Article 27 of historical electrical energy statistics.
The corresponding date and time refer to the setting register of energy statistics return.</t>
  </si>
  <si>
    <t>EnergyStatistics28</t>
  </si>
  <si>
    <t>Article 28 of historical electrical energy statistics.
The corresponding date and time refer to the setting register of energy statistics return.</t>
  </si>
  <si>
    <t>EnergyStatistics29</t>
  </si>
  <si>
    <t>Article 29 of historical electrical energy statistics.
The corresponding date and time refer to the setting register of energy statistics return.</t>
  </si>
  <si>
    <t>EnergyStatistics30</t>
  </si>
  <si>
    <t>Article 30 of historical electrical energy statistics.
The corresponding date and time refer to the setting register of energy statistics return.</t>
  </si>
  <si>
    <t>EnergyStatistics31</t>
  </si>
  <si>
    <t>Article 31 of historical electrical energy statistics.
The corresponding date and time refer to the setting register of energy statistics return.</t>
  </si>
  <si>
    <t>EnergyStatistics32</t>
  </si>
  <si>
    <t>Article 32 of historical electrical energy statistics.
The corresponding date and time refer to the setting register of energy statistics return.</t>
  </si>
  <si>
    <t>EnergyStatistics33</t>
  </si>
  <si>
    <t>Article 33 of historical electrical energy statistics.
The corresponding date and time refer to the setting register of energy statistics return.</t>
  </si>
  <si>
    <t>EnergyStatistics34</t>
  </si>
  <si>
    <t>Article 34 of historical electrical energy statistics.
The corresponding date and time refer to the setting register of energy statistics return.</t>
  </si>
  <si>
    <t>EnergyStatistics35</t>
  </si>
  <si>
    <t>Article 35 of historical electrical energy statistics.
The corresponding date and time refer to the setting register of energy statistics return.</t>
  </si>
  <si>
    <t>EnergyStatistics36</t>
  </si>
  <si>
    <t>Article 36 of historical electrical energy statistics.
The corresponding date and time refer to the setting register of energy statistics return.</t>
  </si>
  <si>
    <t>EnergyStatistics37</t>
  </si>
  <si>
    <t>Article 37 of historical electrical energy statistics.
The corresponding date and time refer to the setting register of energy statistics return.</t>
  </si>
  <si>
    <t>EnergyStatistics38</t>
  </si>
  <si>
    <t>Article 38 of historical electrical energy statistics.
The corresponding date and time refer to the setting register of energy statistics return.</t>
  </si>
  <si>
    <t>EnergyStatistics39</t>
  </si>
  <si>
    <t>Article 39 of historical electrical energy statistics.
The corresponding date and time refer to the setting register of energy statistics return.</t>
  </si>
  <si>
    <t>EnergyStatistics40</t>
  </si>
  <si>
    <t>Article 40 of historical electrical energy statistics.
The corresponding date and time refer to the setting register of energy statistics return.</t>
  </si>
  <si>
    <t>Core function configuration (0x2000-0x207F)</t>
  </si>
  <si>
    <t>AddressMask_Config_Core1</t>
  </si>
  <si>
    <t>Country_Code</t>
  </si>
  <si>
    <t>Safety country, used for storage</t>
  </si>
  <si>
    <t>Safety_Version</t>
  </si>
  <si>
    <t>The version number of the safety parameters of the communication host (upper computer).</t>
  </si>
  <si>
    <t>Factory_Reset</t>
  </si>
  <si>
    <t>Restore factory registers;
The bit value is 1 valid.
Bit0: Clear battery
Bit1: Clear event record
Bit2: Restore default values ​​for all function configuration parameters
When reading, return the status of the last write operation:
0x0000: success
0x0001-0x00FF: operating
0xFFFB: The operation failed and the controller refused to respond (maybe the controller is busy or the configuration is wrong)
0xFFFC: The operation failed and the controller did not respond
0xFFFD: Operation failed, current function is forbidden
0xFFFE: Operation failed, parameter access failed
0xFFFF: The operation failed, the input parameter is wrong</t>
  </si>
  <si>
    <t>Safety_Name1</t>
  </si>
  <si>
    <t xml:space="preserve">The first and second place in the name of the safety-regulated country.
The upper 8 bits of the register store the first digit of the safety name;
The lower 8 bits of the register store the second bit of the safety name. </t>
  </si>
  <si>
    <t>Safety_Name2</t>
  </si>
  <si>
    <t xml:space="preserve">The third and fourth place in the name of the safety-regulated country.
The upper 8 bits of the register store the third digit of the safety name;
The lower 8 bits of the register store the 4th bit of the safety name. </t>
  </si>
  <si>
    <t>Safety_Name3</t>
  </si>
  <si>
    <t>The 5th and 6th place in the name of the safety-regulated country.
The upper 8 bits of the register store the 5th digit of the safety name;
The lower 8 bits of the register store the 6th bit of the safety name.</t>
  </si>
  <si>
    <t>Safety_Name4</t>
  </si>
  <si>
    <t>The 7th and 8th place in the name of the safety-regulated country.
The upper 8 bits of the register store the 7th bit of the safety name;
The lower 8 bits of the register store the 8th bit of the safety name.</t>
  </si>
  <si>
    <t>Safety_Name5</t>
  </si>
  <si>
    <t>The ninth and tenth place in the name of safety regulations.
The upper 8 bits of the register store the 9th bit of the safety name;
The lower 8 bits of the register store the 10th bit of the safety name.</t>
  </si>
  <si>
    <t>Remote_Upgrade_Control</t>
  </si>
  <si>
    <t>Remote upgrade control register.
High byte. Writing 0xA5 is valid.
The low byte contains the chip combination that needs to be upgraded, and the explanation of each bit is as follows:
Bit0: communication board;
Bit1: control board 1 (main DSP);
Bit2: control board 2 (secondary DSP);
Bit3: Fuse</t>
  </si>
  <si>
    <t>Local_Upgrade_Control</t>
  </si>
  <si>
    <t>High byte. Writing 0xA5 is valid.
The low byte contains the chip combination that needs to be upgraded, and the explanation of each bit is as follows:
Bit0: communication board;
Bit1: control board 1 (main DSP);
Bit2: control board 2 (secondary DSP);
Bit3: Fuse</t>
  </si>
  <si>
    <t>Local_Upgrade_Status</t>
  </si>
  <si>
    <t>Current upgrade progress
The high byte indicates the current target chip to be upgraded:
0x00: Not in the upgrade state;
0x01: Main DSP upgrade;
0x02: Secondary DSP upgrade;
0x03: ARM upgrade;
0x04: FUSE upgrade;
The low byte indicates the current upgrade progress:
The progress range is 0-100%</t>
  </si>
  <si>
    <t>ODM data customization area (0x7000-0x707F)</t>
  </si>
  <si>
    <t>7000</t>
  </si>
  <si>
    <t>The address of 0x7000-0x707F is a custom area, which must meet the following format:
All registers in this area are in ASCII format. The upper 8 bits of the register store front-end characters and the lower 8 bits store back-end characters. For example, when the character string "1234" is stored in 0x7000, 0x7001, the data in 0x7000 is 0x3132; the data in 0x7001 is 0x3334.
Allowed characters include: 0x20-0x7E and 0xFF. 0xFF is automatically ignored during parsing.
The string format is defined as follows:
Key 1=value 1\r\nkey 2=value 2\r\n
The keys supported by this protocol version are:
"SN": ODM serial number</t>
  </si>
  <si>
    <r>
      <rPr>
        <sz val="11"/>
        <color theme="1"/>
        <rFont val="Arial"/>
        <charset val="134"/>
      </rPr>
      <t>BMS</t>
    </r>
    <r>
      <rPr>
        <sz val="11"/>
        <color theme="1"/>
        <rFont val="宋体"/>
        <charset val="134"/>
      </rPr>
      <t>（</t>
    </r>
    <r>
      <rPr>
        <sz val="11"/>
        <color theme="1"/>
        <rFont val="Arial"/>
        <charset val="134"/>
      </rPr>
      <t>0x9000-0x9FFF</t>
    </r>
    <r>
      <rPr>
        <sz val="11"/>
        <color theme="1"/>
        <rFont val="宋体"/>
        <charset val="134"/>
      </rPr>
      <t>）</t>
    </r>
  </si>
  <si>
    <t>AddressMask_BMS1_System</t>
  </si>
  <si>
    <t>BMS_Sys_Time</t>
  </si>
  <si>
    <t>BMS system clock
Bit0-5: second, range 0-59
Bit6-11: minute, range 0-59
Bit12-16: hour, range 0-23
Bit17-21: day, range 1-31
Bit22-25: month, range 1-12
Bit26-31: year, range 0-63 (starting in 2000)</t>
  </si>
  <si>
    <r>
      <rPr>
        <sz val="11"/>
        <color theme="1"/>
        <rFont val="Tahoma"/>
        <charset val="134"/>
      </rPr>
      <t>B</t>
    </r>
    <r>
      <rPr>
        <sz val="11"/>
        <color theme="1"/>
        <rFont val="Tahoma"/>
        <charset val="134"/>
      </rPr>
      <t>MS_CAN_Version</t>
    </r>
  </si>
  <si>
    <t>CAN protocol version number</t>
  </si>
  <si>
    <r>
      <rPr>
        <sz val="11"/>
        <color theme="1"/>
        <rFont val="Tahoma"/>
        <charset val="134"/>
      </rPr>
      <t>B</t>
    </r>
    <r>
      <rPr>
        <sz val="11"/>
        <color theme="1"/>
        <rFont val="Tahoma"/>
        <charset val="134"/>
      </rPr>
      <t>MS_Manufacture_Name0</t>
    </r>
  </si>
  <si>
    <t>Manufacturer Information 0</t>
  </si>
  <si>
    <r>
      <rPr>
        <sz val="11"/>
        <color theme="1"/>
        <rFont val="Tahoma"/>
        <charset val="134"/>
      </rPr>
      <t>B</t>
    </r>
    <r>
      <rPr>
        <sz val="11"/>
        <color theme="1"/>
        <rFont val="Tahoma"/>
        <charset val="134"/>
      </rPr>
      <t>MS_Manufacture_Name1</t>
    </r>
  </si>
  <si>
    <t>Manufacturer Information 1</t>
  </si>
  <si>
    <r>
      <rPr>
        <sz val="11"/>
        <color theme="1"/>
        <rFont val="Tahoma"/>
        <charset val="134"/>
      </rPr>
      <t>B</t>
    </r>
    <r>
      <rPr>
        <sz val="11"/>
        <color theme="1"/>
        <rFont val="Tahoma"/>
        <charset val="134"/>
      </rPr>
      <t>MS_Manufacture_Name2</t>
    </r>
  </si>
  <si>
    <t>Manufacturer Information 2</t>
  </si>
  <si>
    <r>
      <rPr>
        <sz val="11"/>
        <color theme="1"/>
        <rFont val="Tahoma"/>
        <charset val="134"/>
      </rPr>
      <t>B</t>
    </r>
    <r>
      <rPr>
        <sz val="11"/>
        <color theme="1"/>
        <rFont val="Tahoma"/>
        <charset val="134"/>
      </rPr>
      <t>MS_Manufacture_Name3</t>
    </r>
  </si>
  <si>
    <t>Manufacturer Information 3</t>
  </si>
  <si>
    <r>
      <rPr>
        <sz val="11"/>
        <color theme="1"/>
        <rFont val="Tahoma"/>
        <charset val="134"/>
      </rPr>
      <t>B</t>
    </r>
    <r>
      <rPr>
        <sz val="11"/>
        <color theme="1"/>
        <rFont val="Tahoma"/>
        <charset val="134"/>
      </rPr>
      <t>MS_Version</t>
    </r>
  </si>
  <si>
    <t>BMS version number</t>
  </si>
  <si>
    <r>
      <rPr>
        <sz val="11"/>
        <color theme="1"/>
        <rFont val="Tahoma"/>
        <charset val="134"/>
      </rPr>
      <t>C</t>
    </r>
    <r>
      <rPr>
        <sz val="11"/>
        <color theme="1"/>
        <rFont val="Tahoma"/>
        <charset val="134"/>
      </rPr>
      <t>ell_Type</t>
    </r>
  </si>
  <si>
    <t>Cell type</t>
  </si>
  <si>
    <t>BaPack_Number</t>
  </si>
  <si>
    <t>High 8 bits: the number of battery packs in parallel
Lower 8 bits: the number of battery strings in the battery pack</t>
  </si>
  <si>
    <r>
      <rPr>
        <sz val="11"/>
        <color theme="1"/>
        <rFont val="Tahoma"/>
        <charset val="134"/>
      </rPr>
      <t>R</t>
    </r>
    <r>
      <rPr>
        <sz val="11"/>
        <color theme="1"/>
        <rFont val="Tahoma"/>
        <charset val="134"/>
      </rPr>
      <t>ealtime_Capacity</t>
    </r>
  </si>
  <si>
    <t>Real-time remaining capacity</t>
  </si>
  <si>
    <r>
      <rPr>
        <sz val="11"/>
        <color theme="1"/>
        <rFont val="Tahoma"/>
        <charset val="134"/>
      </rPr>
      <t>T</t>
    </r>
    <r>
      <rPr>
        <sz val="11"/>
        <color theme="1"/>
        <rFont val="Tahoma"/>
        <charset val="134"/>
      </rPr>
      <t>otal_Voltage</t>
    </r>
  </si>
  <si>
    <t>Total voltage</t>
  </si>
  <si>
    <r>
      <rPr>
        <sz val="11"/>
        <color theme="1"/>
        <rFont val="Tahoma"/>
        <charset val="134"/>
      </rPr>
      <t>T</t>
    </r>
    <r>
      <rPr>
        <sz val="11"/>
        <color theme="1"/>
        <rFont val="Tahoma"/>
        <charset val="134"/>
      </rPr>
      <t>otal_Current</t>
    </r>
  </si>
  <si>
    <t>Total current</t>
  </si>
  <si>
    <r>
      <rPr>
        <sz val="11"/>
        <color theme="1"/>
        <rFont val="Tahoma"/>
        <charset val="134"/>
      </rPr>
      <t>C</t>
    </r>
    <r>
      <rPr>
        <sz val="11"/>
        <color theme="1"/>
        <rFont val="Tahoma"/>
        <charset val="134"/>
      </rPr>
      <t>ell_Average_Temperature</t>
    </r>
  </si>
  <si>
    <t>Average cell temperature</t>
  </si>
  <si>
    <r>
      <rPr>
        <sz val="11"/>
        <color theme="1"/>
        <rFont val="Tahoma"/>
        <charset val="134"/>
      </rPr>
      <t>S</t>
    </r>
    <r>
      <rPr>
        <sz val="11"/>
        <color theme="1"/>
        <rFont val="Tahoma"/>
        <charset val="134"/>
      </rPr>
      <t>OC</t>
    </r>
  </si>
  <si>
    <t>State of charge</t>
  </si>
  <si>
    <r>
      <rPr>
        <sz val="11"/>
        <color theme="1"/>
        <rFont val="Tahoma"/>
        <charset val="134"/>
      </rPr>
      <t>S</t>
    </r>
    <r>
      <rPr>
        <sz val="11"/>
        <color theme="1"/>
        <rFont val="Tahoma"/>
        <charset val="134"/>
      </rPr>
      <t>OH</t>
    </r>
  </si>
  <si>
    <t>Health</t>
  </si>
  <si>
    <t>BMS_Sys_Protect0</t>
  </si>
  <si>
    <t>BMS system protection information0</t>
  </si>
  <si>
    <t>BMS_Sys_Protect1</t>
  </si>
  <si>
    <t>BMS system protection information 1</t>
  </si>
  <si>
    <t>BMS_Sys_Alarm0</t>
  </si>
  <si>
    <t>BMS system alarm information 0</t>
  </si>
  <si>
    <t>BMS_Sys_Alarm1</t>
  </si>
  <si>
    <t>BMS system alarm information 1</t>
  </si>
  <si>
    <t>BMS_Inquire</t>
  </si>
  <si>
    <t xml:space="preserve">Battery query control word
Bit0-7: The serial number of the battery pack to be queried, the valid range is 0~15, and 0 means the first battery pack
Bit8-11: The serial number of the battery pack to be queried, the valid range is 0~15, and 0 means the first battery pack
Bit12-15: The serial number of the fault to be queried, the valid range is 0~5, and 0 means the most recent fault
</t>
  </si>
  <si>
    <t>AddressMask_BMS2_Realtime</t>
  </si>
  <si>
    <r>
      <rPr>
        <sz val="11"/>
        <color theme="1"/>
        <rFont val="Tahoma"/>
        <charset val="134"/>
      </rPr>
      <t>P</t>
    </r>
    <r>
      <rPr>
        <sz val="11"/>
        <color theme="1"/>
        <rFont val="Tahoma"/>
        <charset val="134"/>
      </rPr>
      <t>ack_RT_ID</t>
    </r>
  </si>
  <si>
    <t xml:space="preserve">Real-time data battery pack number.
High 8 bits: battery pack serial number
Lower 8 bits: battery pack serial number"
</t>
  </si>
  <si>
    <t>Pack_RT_Timestamp</t>
  </si>
  <si>
    <t>Real-time data timestamp</t>
  </si>
  <si>
    <r>
      <rPr>
        <sz val="11"/>
        <color theme="1"/>
        <rFont val="Tahoma"/>
        <charset val="134"/>
      </rPr>
      <t>P</t>
    </r>
    <r>
      <rPr>
        <sz val="11"/>
        <color theme="1"/>
        <rFont val="Tahoma"/>
        <charset val="134"/>
      </rPr>
      <t>ack_RT_SN0</t>
    </r>
  </si>
  <si>
    <t>Device serial number 0</t>
  </si>
  <si>
    <r>
      <rPr>
        <sz val="11"/>
        <color theme="1"/>
        <rFont val="Tahoma"/>
        <charset val="134"/>
      </rPr>
      <t>P</t>
    </r>
    <r>
      <rPr>
        <sz val="11"/>
        <color theme="1"/>
        <rFont val="Tahoma"/>
        <charset val="134"/>
      </rPr>
      <t>ack_RT_SN1</t>
    </r>
  </si>
  <si>
    <t>Device serial number 1</t>
  </si>
  <si>
    <r>
      <rPr>
        <sz val="11"/>
        <color theme="1"/>
        <rFont val="Tahoma"/>
        <charset val="134"/>
      </rPr>
      <t>P</t>
    </r>
    <r>
      <rPr>
        <sz val="11"/>
        <color theme="1"/>
        <rFont val="Tahoma"/>
        <charset val="134"/>
      </rPr>
      <t>ack_RT_SN2</t>
    </r>
  </si>
  <si>
    <t>Device serial number 2</t>
  </si>
  <si>
    <r>
      <rPr>
        <sz val="11"/>
        <color theme="1"/>
        <rFont val="Tahoma"/>
        <charset val="134"/>
      </rPr>
      <t>P</t>
    </r>
    <r>
      <rPr>
        <sz val="11"/>
        <color theme="1"/>
        <rFont val="Tahoma"/>
        <charset val="134"/>
      </rPr>
      <t>ack_RT_SN3</t>
    </r>
  </si>
  <si>
    <t>Device serial number 3</t>
  </si>
  <si>
    <r>
      <rPr>
        <sz val="11"/>
        <color theme="1"/>
        <rFont val="Tahoma"/>
        <charset val="134"/>
      </rPr>
      <t>P</t>
    </r>
    <r>
      <rPr>
        <sz val="11"/>
        <color theme="1"/>
        <rFont val="Tahoma"/>
        <charset val="134"/>
      </rPr>
      <t>ack_RT_SN4</t>
    </r>
  </si>
  <si>
    <t>Device serial number 4</t>
  </si>
  <si>
    <r>
      <rPr>
        <sz val="11"/>
        <color theme="1"/>
        <rFont val="Tahoma"/>
        <charset val="134"/>
      </rPr>
      <t>P</t>
    </r>
    <r>
      <rPr>
        <sz val="11"/>
        <color theme="1"/>
        <rFont val="Tahoma"/>
        <charset val="134"/>
      </rPr>
      <t>ack_RT_SN5</t>
    </r>
  </si>
  <si>
    <t>Device serial number 5</t>
  </si>
  <si>
    <r>
      <rPr>
        <sz val="11"/>
        <color theme="1"/>
        <rFont val="Tahoma"/>
        <charset val="134"/>
      </rPr>
      <t>P</t>
    </r>
    <r>
      <rPr>
        <sz val="11"/>
        <color theme="1"/>
        <rFont val="Tahoma"/>
        <charset val="134"/>
      </rPr>
      <t>ack_RT_SN6</t>
    </r>
  </si>
  <si>
    <t>Device serial number 6</t>
  </si>
  <si>
    <r>
      <rPr>
        <sz val="11"/>
        <color theme="1"/>
        <rFont val="Tahoma"/>
        <charset val="134"/>
      </rPr>
      <t>P</t>
    </r>
    <r>
      <rPr>
        <sz val="11"/>
        <color theme="1"/>
        <rFont val="Tahoma"/>
        <charset val="134"/>
      </rPr>
      <t>ack_RT_SN7</t>
    </r>
  </si>
  <si>
    <t>Device serial number 7</t>
  </si>
  <si>
    <r>
      <rPr>
        <sz val="11"/>
        <color theme="1"/>
        <rFont val="Tahoma"/>
        <charset val="134"/>
      </rPr>
      <t>P</t>
    </r>
    <r>
      <rPr>
        <sz val="11"/>
        <color theme="1"/>
        <rFont val="Tahoma"/>
        <charset val="134"/>
      </rPr>
      <t>ack_RT_SN8</t>
    </r>
  </si>
  <si>
    <t>Device serial number 8</t>
  </si>
  <si>
    <r>
      <rPr>
        <sz val="11"/>
        <color theme="1"/>
        <rFont val="Tahoma"/>
        <charset val="134"/>
      </rPr>
      <t>P</t>
    </r>
    <r>
      <rPr>
        <sz val="11"/>
        <color theme="1"/>
        <rFont val="Tahoma"/>
        <charset val="134"/>
      </rPr>
      <t>ack_RT_SN9</t>
    </r>
  </si>
  <si>
    <t>Device serial number 9</t>
  </si>
  <si>
    <t>Pack_RT_Cell_Voltage1</t>
  </si>
  <si>
    <t>Cell 1 voltage</t>
  </si>
  <si>
    <t>Pack_RT_Cell_Voltage2</t>
  </si>
  <si>
    <t>Cell 2 voltage</t>
  </si>
  <si>
    <t>Pack_RT_Cell_Voltage3</t>
  </si>
  <si>
    <t>Cell 3 voltage</t>
  </si>
  <si>
    <t>Pack_RT_Cell_Voltage4</t>
  </si>
  <si>
    <t>Cell 4 voltage</t>
  </si>
  <si>
    <t>Pack_RT_Cell_Voltage5</t>
  </si>
  <si>
    <t>Cell 5 voltage</t>
  </si>
  <si>
    <t>Pack_RT_Cell_Voltage6</t>
  </si>
  <si>
    <t>Cell 6 voltage</t>
  </si>
  <si>
    <t>Pack_RT_Cell_Voltage7</t>
  </si>
  <si>
    <t>Cell 7 voltage</t>
  </si>
  <si>
    <t>Pack_RT_Cell_Voltage8</t>
  </si>
  <si>
    <t>Cell 8 voltage</t>
  </si>
  <si>
    <t>Pack_RT_Cell_Voltage9</t>
  </si>
  <si>
    <t>Cell 9 voltage</t>
  </si>
  <si>
    <t>Pack_RT_Cell_Voltage10</t>
  </si>
  <si>
    <t>Cell 10 voltage</t>
  </si>
  <si>
    <t>Pack_RT_Cell_Voltage11</t>
  </si>
  <si>
    <t>Cell 11 voltage</t>
  </si>
  <si>
    <t>Pack_RT_Cell_Voltage12</t>
  </si>
  <si>
    <t>Cell 12 voltage</t>
  </si>
  <si>
    <t>Pack_RT_Cell_Voltage13</t>
  </si>
  <si>
    <t>Cell 13 voltage</t>
  </si>
  <si>
    <t>Pack_RT_Cell_Voltage14</t>
  </si>
  <si>
    <t>Cell 14 voltage</t>
  </si>
  <si>
    <t>Pack_RT_Cell_Voltage15</t>
  </si>
  <si>
    <t>Cell 15 voltage</t>
  </si>
  <si>
    <t>Pack_RT_Cell_Voltage16</t>
  </si>
  <si>
    <t>Cell 16 voltage</t>
  </si>
  <si>
    <t>Pack_RT_Cell_Voltage17</t>
  </si>
  <si>
    <t>Cell 17 voltage</t>
  </si>
  <si>
    <t>Pack_RT_Cell_Voltage18</t>
  </si>
  <si>
    <t>Cell 18 voltage</t>
  </si>
  <si>
    <t>Pack_RT_Cell_Voltage19</t>
  </si>
  <si>
    <t>Cell 19 voltage</t>
  </si>
  <si>
    <t>Pack_RT_Cell_Voltage20</t>
  </si>
  <si>
    <t>Cell 20 voltage</t>
  </si>
  <si>
    <t>Pack_RT_Cell_Voltage21</t>
  </si>
  <si>
    <t>Cell 21 voltage</t>
  </si>
  <si>
    <t>Pack_RT_Cell_Voltage22</t>
  </si>
  <si>
    <t>Battery 22 voltage</t>
  </si>
  <si>
    <t>Pack_RT_Cell_Voltage23</t>
  </si>
  <si>
    <t>Battery 23 voltage</t>
  </si>
  <si>
    <t>Pack_RT_Cell_Voltage24</t>
  </si>
  <si>
    <t>Cell 24 voltage</t>
  </si>
  <si>
    <r>
      <rPr>
        <sz val="11"/>
        <color theme="1"/>
        <rFont val="Tahoma"/>
        <charset val="134"/>
      </rPr>
      <t>P</t>
    </r>
    <r>
      <rPr>
        <sz val="11"/>
        <color theme="1"/>
        <rFont val="Tahoma"/>
        <charset val="134"/>
      </rPr>
      <t>ack_RT_Cell_Max_Voltage</t>
    </r>
  </si>
  <si>
    <t>The highest voltage of the battery</t>
  </si>
  <si>
    <t>Pack_RT_Cell_Min_Voltage</t>
  </si>
  <si>
    <t>Minimum battery voltage</t>
  </si>
  <si>
    <t>Pack_RT_Temperature1_Pack</t>
  </si>
  <si>
    <t>Battery pack temperature 1</t>
  </si>
  <si>
    <t>Pack_RT_Temperature2_Pack</t>
  </si>
  <si>
    <t>Battery pack temperature 2</t>
  </si>
  <si>
    <t>Pack_RT_Temperature3_Pack</t>
  </si>
  <si>
    <t>Battery pack temperature 3</t>
  </si>
  <si>
    <t>Pack_RT_Temperature4_Pack</t>
  </si>
  <si>
    <t>Battery pack temperature 4</t>
  </si>
  <si>
    <r>
      <rPr>
        <sz val="11"/>
        <color theme="1"/>
        <rFont val="Tahoma"/>
        <charset val="134"/>
      </rPr>
      <t>P</t>
    </r>
    <r>
      <rPr>
        <sz val="11"/>
        <color theme="1"/>
        <rFont val="Tahoma"/>
        <charset val="134"/>
      </rPr>
      <t>ack_RT_Temperature_MOS</t>
    </r>
  </si>
  <si>
    <t>MOS tube temperature</t>
  </si>
  <si>
    <r>
      <rPr>
        <sz val="11"/>
        <color theme="1"/>
        <rFont val="Tahoma"/>
        <charset val="134"/>
      </rPr>
      <t>P</t>
    </r>
    <r>
      <rPr>
        <sz val="11"/>
        <color theme="1"/>
        <rFont val="Tahoma"/>
        <charset val="134"/>
      </rPr>
      <t>ack_RT_Temperature_Env</t>
    </r>
  </si>
  <si>
    <t>Ambient temperature in the battery pack</t>
  </si>
  <si>
    <r>
      <rPr>
        <sz val="11"/>
        <color theme="1"/>
        <rFont val="Tahoma"/>
        <charset val="134"/>
      </rPr>
      <t>P</t>
    </r>
    <r>
      <rPr>
        <sz val="11"/>
        <color theme="1"/>
        <rFont val="Tahoma"/>
        <charset val="134"/>
      </rPr>
      <t>ack_RT_Current</t>
    </r>
  </si>
  <si>
    <t>Battery pack current</t>
  </si>
  <si>
    <r>
      <rPr>
        <sz val="11"/>
        <color theme="1"/>
        <rFont val="Tahoma"/>
        <charset val="134"/>
      </rPr>
      <t>P</t>
    </r>
    <r>
      <rPr>
        <sz val="11"/>
        <color theme="1"/>
        <rFont val="Tahoma"/>
        <charset val="134"/>
      </rPr>
      <t>ack_RT_Remaining_Capacity</t>
    </r>
  </si>
  <si>
    <r>
      <rPr>
        <sz val="11"/>
        <color theme="1"/>
        <rFont val="Tahoma"/>
        <charset val="134"/>
      </rPr>
      <t>A</t>
    </r>
    <r>
      <rPr>
        <sz val="11"/>
        <color theme="1"/>
        <rFont val="Tahoma"/>
        <charset val="134"/>
      </rPr>
      <t>h</t>
    </r>
  </si>
  <si>
    <t>The remaining capacity</t>
  </si>
  <si>
    <r>
      <rPr>
        <sz val="11"/>
        <color theme="1"/>
        <rFont val="Tahoma"/>
        <charset val="134"/>
      </rPr>
      <t>P</t>
    </r>
    <r>
      <rPr>
        <sz val="11"/>
        <color theme="1"/>
        <rFont val="Tahoma"/>
        <charset val="134"/>
      </rPr>
      <t>ack_RT_FullCharge_Capacity</t>
    </r>
  </si>
  <si>
    <t>Full charge capacity</t>
  </si>
  <si>
    <r>
      <rPr>
        <sz val="11"/>
        <color theme="1"/>
        <rFont val="Tahoma"/>
        <charset val="134"/>
      </rPr>
      <t>P</t>
    </r>
    <r>
      <rPr>
        <sz val="11"/>
        <color theme="1"/>
        <rFont val="Tahoma"/>
        <charset val="134"/>
      </rPr>
      <t>ack_RT_Cycles</t>
    </r>
  </si>
  <si>
    <r>
      <rPr>
        <sz val="11"/>
        <color theme="1"/>
        <rFont val="Tahoma"/>
        <charset val="134"/>
      </rPr>
      <t>t</t>
    </r>
    <r>
      <rPr>
        <sz val="11"/>
        <color theme="1"/>
        <rFont val="Tahoma"/>
        <charset val="134"/>
      </rPr>
      <t>imes</t>
    </r>
  </si>
  <si>
    <t>Cycles</t>
  </si>
  <si>
    <t>Pack_RT_Balance_State</t>
  </si>
  <si>
    <t>Equilibrium</t>
  </si>
  <si>
    <t>Pack_RT_Alarm_State</t>
  </si>
  <si>
    <t>Alarm status</t>
  </si>
  <si>
    <t>Pack_RT_Protect_State</t>
  </si>
  <si>
    <t>Protection status</t>
  </si>
  <si>
    <t>Pack_RT_Fault_State</t>
  </si>
  <si>
    <t>Fault state</t>
  </si>
  <si>
    <t>Pack_RT_Total_Voltage</t>
  </si>
  <si>
    <t>Total Voltage</t>
  </si>
  <si>
    <t>Pack_RT_SOC</t>
  </si>
  <si>
    <t>SOC</t>
  </si>
  <si>
    <t>AddressMask_BMS3_Fault</t>
  </si>
  <si>
    <t>Pack_Fault_ID</t>
  </si>
  <si>
    <t>Real-time faulty battery pack number.
Bit0-7: The serial number of the battery pack to be queried, the valid range is 0~15, and 0 means the first battery pack
Bit8-11: The serial number of the battery pack to be queried, the valid range is 0~15, and 0 means the first battery pack
Bit12-15: The serial number of the queried fault, the valid range is 0~5, 0 means the most recent fault</t>
  </si>
  <si>
    <t>Pack_Fault_Timestamp</t>
  </si>
  <si>
    <t>Fault data timestamp</t>
  </si>
  <si>
    <t>Pack_Fault_SN0</t>
  </si>
  <si>
    <r>
      <rPr>
        <sz val="11"/>
        <color theme="1"/>
        <rFont val="Tahoma"/>
        <charset val="134"/>
      </rPr>
      <t>Pack_Fault_SN1</t>
    </r>
  </si>
  <si>
    <r>
      <rPr>
        <sz val="11"/>
        <color theme="1"/>
        <rFont val="Tahoma"/>
        <charset val="134"/>
      </rPr>
      <t>Pack_Fault_SN2</t>
    </r>
  </si>
  <si>
    <r>
      <rPr>
        <sz val="11"/>
        <color theme="1"/>
        <rFont val="Tahoma"/>
        <charset val="134"/>
      </rPr>
      <t>Pack_Fault_SN3</t>
    </r>
  </si>
  <si>
    <r>
      <rPr>
        <sz val="11"/>
        <color theme="1"/>
        <rFont val="Tahoma"/>
        <charset val="134"/>
      </rPr>
      <t>Pack_Fault_SN4</t>
    </r>
  </si>
  <si>
    <r>
      <rPr>
        <sz val="11"/>
        <color theme="1"/>
        <rFont val="Tahoma"/>
        <charset val="134"/>
      </rPr>
      <t>Pack_Fault_SN5</t>
    </r>
  </si>
  <si>
    <r>
      <rPr>
        <sz val="11"/>
        <color theme="1"/>
        <rFont val="Tahoma"/>
        <charset val="134"/>
      </rPr>
      <t>Pack_Fault_SN6</t>
    </r>
  </si>
  <si>
    <r>
      <rPr>
        <sz val="11"/>
        <color theme="1"/>
        <rFont val="Tahoma"/>
        <charset val="134"/>
      </rPr>
      <t>Pack_Fault_SN7</t>
    </r>
  </si>
  <si>
    <r>
      <rPr>
        <sz val="11"/>
        <color theme="1"/>
        <rFont val="Tahoma"/>
        <charset val="134"/>
      </rPr>
      <t>Pack_Fault_SN8</t>
    </r>
  </si>
  <si>
    <r>
      <rPr>
        <sz val="11"/>
        <color theme="1"/>
        <rFont val="Tahoma"/>
        <charset val="134"/>
      </rPr>
      <t>Pack_Fault_SN9</t>
    </r>
  </si>
  <si>
    <t>Pack_Fault_Cell_Voltage1</t>
  </si>
  <si>
    <t>Pack_Fault_Cell_Voltage2</t>
  </si>
  <si>
    <t>Pack_Fault_Cell_Voltage3</t>
  </si>
  <si>
    <t>Pack_Fault_Cell_Voltage4</t>
  </si>
  <si>
    <t>Pack_Fault_Cell_Voltage5</t>
  </si>
  <si>
    <t>Pack_Fault_Cell_Voltage6</t>
  </si>
  <si>
    <t>Pack_Fault_Cell_Voltage7</t>
  </si>
  <si>
    <t>Pack_Fault_Cell_Voltage8</t>
  </si>
  <si>
    <t>Pack_Fault_Cell_Voltage9</t>
  </si>
  <si>
    <t>Pack_Fault_Cell_Voltage10</t>
  </si>
  <si>
    <t>Pack_Fault_Cell_Voltage11</t>
  </si>
  <si>
    <t>Pack_Fault_Cell_Voltage12</t>
  </si>
  <si>
    <t>Pack_Fault_Cell_Voltage13</t>
  </si>
  <si>
    <t>Pack_Fault_Cell_Voltage14</t>
  </si>
  <si>
    <t>Pack_Fault_Cell_Voltage15</t>
  </si>
  <si>
    <t>Pack_Fault_Cell_Voltage16</t>
  </si>
  <si>
    <t>Pack_Fault_Cell_Voltage17</t>
  </si>
  <si>
    <t>Pack_Fault_Cell_Voltage18</t>
  </si>
  <si>
    <t>Pack_Fault_Cell_Voltage19</t>
  </si>
  <si>
    <t>Pack_Fault_Cell_Voltage20</t>
  </si>
  <si>
    <t>Pack_Fault_Cell_Voltage21</t>
  </si>
  <si>
    <t>Pack_Fault_Cell_Voltage22</t>
  </si>
  <si>
    <t>Pack_Fault_Cell_Voltage23</t>
  </si>
  <si>
    <t>Pack_Fault_Cell_Voltage24</t>
  </si>
  <si>
    <t>Pack_Fault_Cell_Max_Voltage</t>
  </si>
  <si>
    <t>Pack_Fault_Cell_Min_Voltage</t>
  </si>
  <si>
    <t>Pack_Fault_Temperature1_Pack</t>
  </si>
  <si>
    <t>Pack_Fault_Temperature2_Pack</t>
  </si>
  <si>
    <t>Pack_Fault_Temperature3_Pack</t>
  </si>
  <si>
    <t>Pack_Fault_Temperature4_Pack</t>
  </si>
  <si>
    <t>Pack_Fault_Temperature_MOS</t>
  </si>
  <si>
    <t>Pack_Fault_Temperature_Env</t>
  </si>
  <si>
    <t>Pack_Fault_Current</t>
  </si>
  <si>
    <t>Pack_Fault_Remaining_Capacity</t>
  </si>
  <si>
    <t>Pack_Fault_FullCharge_Capacity</t>
  </si>
  <si>
    <t>Pack_Fault_Total_Voltage</t>
  </si>
  <si>
    <r>
      <rPr>
        <sz val="11"/>
        <color theme="1"/>
        <rFont val="Tahoma"/>
        <charset val="134"/>
      </rPr>
      <t>P</t>
    </r>
    <r>
      <rPr>
        <sz val="11"/>
        <color theme="1"/>
        <rFont val="Tahoma"/>
        <charset val="134"/>
      </rPr>
      <t>ack_Alarm_State</t>
    </r>
  </si>
  <si>
    <r>
      <rPr>
        <sz val="11"/>
        <color theme="1"/>
        <rFont val="Tahoma"/>
        <charset val="134"/>
      </rPr>
      <t>P</t>
    </r>
    <r>
      <rPr>
        <sz val="11"/>
        <color theme="1"/>
        <rFont val="Tahoma"/>
        <charset val="134"/>
      </rPr>
      <t>ack_Protect_State</t>
    </r>
  </si>
  <si>
    <r>
      <rPr>
        <sz val="11"/>
        <color theme="1"/>
        <rFont val="Tahoma"/>
        <charset val="134"/>
      </rPr>
      <t>P</t>
    </r>
    <r>
      <rPr>
        <sz val="11"/>
        <color theme="1"/>
        <rFont val="Tahoma"/>
        <charset val="134"/>
      </rPr>
      <t>ack_Fault_State</t>
    </r>
  </si>
  <si>
    <t>Table</t>
  </si>
  <si>
    <t>Byte</t>
  </si>
  <si>
    <t>Bit</t>
  </si>
  <si>
    <t>No.</t>
  </si>
  <si>
    <t>Warning source</t>
  </si>
  <si>
    <t>classification</t>
  </si>
  <si>
    <t>byte 0</t>
  </si>
  <si>
    <t>bit 0</t>
  </si>
  <si>
    <t>GridOVP</t>
  </si>
  <si>
    <t>001</t>
  </si>
  <si>
    <t>Grid over-voltage</t>
  </si>
  <si>
    <t>DSPM</t>
  </si>
  <si>
    <t>Grid</t>
  </si>
  <si>
    <t>bit 1</t>
  </si>
  <si>
    <t>GridUVP</t>
  </si>
  <si>
    <t>002</t>
  </si>
  <si>
    <t>Grid undervoltage</t>
  </si>
  <si>
    <t>bit 2</t>
  </si>
  <si>
    <t>GridOFP</t>
  </si>
  <si>
    <t>003</t>
  </si>
  <si>
    <t>Grid Overfrequency</t>
  </si>
  <si>
    <t>bit 3</t>
  </si>
  <si>
    <t>GridUFP</t>
  </si>
  <si>
    <t>004</t>
  </si>
  <si>
    <t>Grid Underfrequency</t>
  </si>
  <si>
    <t>bit 4</t>
  </si>
  <si>
    <t>005</t>
  </si>
  <si>
    <t>Leakage current fault</t>
  </si>
  <si>
    <t>DSPM&amp;S</t>
  </si>
  <si>
    <t>bit 5</t>
  </si>
  <si>
    <t>OVRT</t>
  </si>
  <si>
    <t>006</t>
  </si>
  <si>
    <t>High penetration error</t>
  </si>
  <si>
    <t>bit 6</t>
  </si>
  <si>
    <t>LVRT</t>
  </si>
  <si>
    <t>007</t>
  </si>
  <si>
    <t>Low penetration error</t>
  </si>
  <si>
    <t>bit 7</t>
  </si>
  <si>
    <t>IslandFault</t>
  </si>
  <si>
    <t>008</t>
  </si>
  <si>
    <t>Islanding error</t>
  </si>
  <si>
    <t>byte 1</t>
  </si>
  <si>
    <t>GridOVPInstant1</t>
  </si>
  <si>
    <t>009</t>
  </si>
  <si>
    <t>Grid voltage transient value overvoltage 1</t>
  </si>
  <si>
    <t>GridOVPInstant2</t>
  </si>
  <si>
    <t>010</t>
  </si>
  <si>
    <t>Grid voltage transient value overvoltage 2</t>
  </si>
  <si>
    <t>VGridLineFault</t>
  </si>
  <si>
    <t>011</t>
  </si>
  <si>
    <t>Grid line voltage error</t>
  </si>
  <si>
    <t>InvVoltFault</t>
  </si>
  <si>
    <t>012</t>
  </si>
  <si>
    <t>Inverter voltage error</t>
  </si>
  <si>
    <t>RefluxFault</t>
  </si>
  <si>
    <t>013</t>
  </si>
  <si>
    <t>Anti-backflow overload</t>
  </si>
  <si>
    <t>014</t>
  </si>
  <si>
    <t>015</t>
  </si>
  <si>
    <t>016</t>
  </si>
  <si>
    <t>HwADErrIGrid</t>
  </si>
  <si>
    <t>017</t>
  </si>
  <si>
    <t>Grid current sampling error</t>
  </si>
  <si>
    <t>Sampling error</t>
  </si>
  <si>
    <t>HwADErrDCI(AC)</t>
  </si>
  <si>
    <t>018</t>
  </si>
  <si>
    <t>Grid current DC component sampling error (AC side)</t>
  </si>
  <si>
    <t>HwADErrVGrid(DC)</t>
  </si>
  <si>
    <t>019</t>
  </si>
  <si>
    <t>Grid voltage sampling error (DC side)</t>
  </si>
  <si>
    <t>DSPS</t>
  </si>
  <si>
    <t>HwADErrVGrid(AC)</t>
  </si>
  <si>
    <t>020</t>
  </si>
  <si>
    <t>Grid voltage sampling error (AC side)</t>
  </si>
  <si>
    <t>HwGFCIFault(DC)</t>
  </si>
  <si>
    <t>021</t>
  </si>
  <si>
    <t>Leakage current sampling error (DC side)</t>
  </si>
  <si>
    <t>HwGFCIFault(AC)</t>
  </si>
  <si>
    <t>022</t>
  </si>
  <si>
    <t>Leakage current sampling error (AC side)</t>
  </si>
  <si>
    <t>HwADErrDCV</t>
  </si>
  <si>
    <t>023</t>
  </si>
  <si>
    <t>Load voltage DC component sampling error</t>
  </si>
  <si>
    <t>HwADErrIdc</t>
  </si>
  <si>
    <t>024</t>
  </si>
  <si>
    <t>DC input current sampling error</t>
  </si>
  <si>
    <t>HwADErrDCI(DC)</t>
  </si>
  <si>
    <t>025</t>
  </si>
  <si>
    <t>DC component sampling error of grid current (DC side)</t>
  </si>
  <si>
    <t>HwADErrIdcBranch</t>
  </si>
  <si>
    <t>026</t>
  </si>
  <si>
    <t>DC input branch current sampling error</t>
  </si>
  <si>
    <t>027</t>
  </si>
  <si>
    <t>028</t>
  </si>
  <si>
    <t>ConsistentGFCI</t>
  </si>
  <si>
    <t>029</t>
  </si>
  <si>
    <t>Leakage current consistency error</t>
  </si>
  <si>
    <t>ConsistentVgrid</t>
  </si>
  <si>
    <t>030</t>
  </si>
  <si>
    <t>Grid voltage consistency error</t>
  </si>
  <si>
    <t>ConsistentDCI</t>
  </si>
  <si>
    <t>031</t>
  </si>
  <si>
    <t>DCI consistency error</t>
  </si>
  <si>
    <t>032</t>
  </si>
  <si>
    <t>SpiCommFault(DC)</t>
  </si>
  <si>
    <t>033</t>
  </si>
  <si>
    <t>SPI communication error (DC side)</t>
  </si>
  <si>
    <t>SpiCommFault(AC)</t>
  </si>
  <si>
    <t>034</t>
  </si>
  <si>
    <t>SPI communication error (AC side)</t>
  </si>
  <si>
    <t>SChip_Fault</t>
  </si>
  <si>
    <t>035</t>
  </si>
  <si>
    <t>Chip error (DC side)</t>
  </si>
  <si>
    <t>MChip_Fault</t>
  </si>
  <si>
    <t>036</t>
  </si>
  <si>
    <t>Chip error (AC side)</t>
  </si>
  <si>
    <t>HwAuxPowerFault</t>
  </si>
  <si>
    <t>037</t>
  </si>
  <si>
    <t>Auxiliary power error</t>
  </si>
  <si>
    <t>InvSoftStartFail</t>
  </si>
  <si>
    <t>038</t>
  </si>
  <si>
    <t>Inverter soft start failure</t>
  </si>
  <si>
    <t>039</t>
  </si>
  <si>
    <t>040</t>
  </si>
  <si>
    <t>RelayFail</t>
  </si>
  <si>
    <t>041</t>
  </si>
  <si>
    <t>Relay detection failure</t>
  </si>
  <si>
    <t>System</t>
  </si>
  <si>
    <t>IsoFault</t>
  </si>
  <si>
    <t>042</t>
  </si>
  <si>
    <t>Low insulation impedance</t>
  </si>
  <si>
    <t>PEConnectFault</t>
  </si>
  <si>
    <t>043</t>
  </si>
  <si>
    <t>Grounding error</t>
  </si>
  <si>
    <t>PvConfigError</t>
  </si>
  <si>
    <t>044</t>
  </si>
  <si>
    <t>Input mode setting error</t>
  </si>
  <si>
    <t>CTDisconnect</t>
  </si>
  <si>
    <t>045</t>
  </si>
  <si>
    <t>CT error</t>
  </si>
  <si>
    <t>ReversalConnect</t>
  </si>
  <si>
    <t>046</t>
  </si>
  <si>
    <t>Input reversal error</t>
  </si>
  <si>
    <t>ParallelFault</t>
  </si>
  <si>
    <t>047</t>
  </si>
  <si>
    <t>Parallel error</t>
  </si>
  <si>
    <t>SNTypeFault</t>
  </si>
  <si>
    <t>048</t>
  </si>
  <si>
    <t>Serial number error</t>
  </si>
  <si>
    <t>TempErrBat</t>
  </si>
  <si>
    <t>049</t>
  </si>
  <si>
    <t>Battery temperature protection</t>
  </si>
  <si>
    <t>Temperature</t>
  </si>
  <si>
    <t>TempErrHeatSink1</t>
  </si>
  <si>
    <t>050</t>
  </si>
  <si>
    <t>Heat sink 1 temperature protection</t>
  </si>
  <si>
    <t>TempErrHeatSink2</t>
  </si>
  <si>
    <t>051</t>
  </si>
  <si>
    <t>Heater 2 temperature protection</t>
  </si>
  <si>
    <t>TempErrHeatSink3</t>
  </si>
  <si>
    <t>052</t>
  </si>
  <si>
    <t>Heater 3 temperature protection</t>
  </si>
  <si>
    <t>TempErrHeatSink4</t>
  </si>
  <si>
    <t>053</t>
  </si>
  <si>
    <t>Heatsink 4 temperature protection</t>
  </si>
  <si>
    <t>TempErrHeatSink5</t>
  </si>
  <si>
    <t>054</t>
  </si>
  <si>
    <t>Heatsink 5 temperature protection</t>
  </si>
  <si>
    <t>TempErrHeatSink6</t>
  </si>
  <si>
    <t>055</t>
  </si>
  <si>
    <t>Radiator 6 temperature protection</t>
  </si>
  <si>
    <t>056</t>
  </si>
  <si>
    <t>TempErrEnv1</t>
  </si>
  <si>
    <t>057</t>
  </si>
  <si>
    <t>Ambient temperature 1 protection</t>
  </si>
  <si>
    <t>TempErrEnv2</t>
  </si>
  <si>
    <t>058</t>
  </si>
  <si>
    <t>Ambient temperature 2 protection</t>
  </si>
  <si>
    <t>TempErrInv1</t>
  </si>
  <si>
    <t>059</t>
  </si>
  <si>
    <t>Module 1 temperature protection</t>
  </si>
  <si>
    <t>TempErrInv2</t>
  </si>
  <si>
    <t>060</t>
  </si>
  <si>
    <t>Module 2 temperature protection</t>
  </si>
  <si>
    <t>TempErrInv3</t>
  </si>
  <si>
    <t>061</t>
  </si>
  <si>
    <t>Module 3 temperature protection</t>
  </si>
  <si>
    <t>TempDiffErrInv</t>
  </si>
  <si>
    <t>062</t>
  </si>
  <si>
    <t>Module temperature difference is too large</t>
  </si>
  <si>
    <t>063</t>
  </si>
  <si>
    <t>064</t>
  </si>
  <si>
    <t>BusRmsUnbalance</t>
  </si>
  <si>
    <t>065</t>
  </si>
  <si>
    <t>Bus voltage RMS unbalance</t>
  </si>
  <si>
    <t>Over and under voltage</t>
  </si>
  <si>
    <t>BusInstUnbalance</t>
  </si>
  <si>
    <t>066</t>
  </si>
  <si>
    <t>Bus voltage transient value unbalance</t>
  </si>
  <si>
    <t>BusUVP</t>
  </si>
  <si>
    <t>067</t>
  </si>
  <si>
    <t>Undervoltage of busbar during grid connection</t>
  </si>
  <si>
    <t>BusZVP</t>
  </si>
  <si>
    <t>068</t>
  </si>
  <si>
    <t>Bus bar low voltage</t>
  </si>
  <si>
    <t>PVOVP</t>
  </si>
  <si>
    <t>069</t>
  </si>
  <si>
    <t>PV overvoltage</t>
  </si>
  <si>
    <t>BatOVP</t>
  </si>
  <si>
    <t>070</t>
  </si>
  <si>
    <t>Battery over-voltage</t>
  </si>
  <si>
    <t>LLCBusOVP</t>
  </si>
  <si>
    <t>071</t>
  </si>
  <si>
    <t>LLCBus overvoltage protection</t>
  </si>
  <si>
    <t>SwBusRmsOVP</t>
  </si>
  <si>
    <t>072</t>
  </si>
  <si>
    <t>Inverter bus voltage RMS software overvoltage</t>
  </si>
  <si>
    <t>SwBusIOVP</t>
  </si>
  <si>
    <t>073</t>
  </si>
  <si>
    <t>Inverter bus voltage transient value software overvoltage</t>
  </si>
  <si>
    <t>FlyingCapOVP</t>
  </si>
  <si>
    <t>074</t>
  </si>
  <si>
    <t>Flying Cross Capacitor Overvoltage Protection</t>
  </si>
  <si>
    <t>FlyingCapUVP</t>
  </si>
  <si>
    <t>075</t>
  </si>
  <si>
    <t>Flying Cross capacitor undervoltage protection</t>
  </si>
  <si>
    <t>076</t>
  </si>
  <si>
    <t>077</t>
  </si>
  <si>
    <t>078</t>
  </si>
  <si>
    <t>079</t>
  </si>
  <si>
    <t>080</t>
  </si>
  <si>
    <t>SwBatOCP</t>
  </si>
  <si>
    <t>081</t>
  </si>
  <si>
    <t>Battery overcurrent software protection</t>
  </si>
  <si>
    <t>Current</t>
  </si>
  <si>
    <t>DciOCP</t>
  </si>
  <si>
    <t>082</t>
  </si>
  <si>
    <t>Dci overcurrent protection</t>
  </si>
  <si>
    <t>SwIOCP</t>
  </si>
  <si>
    <t>083</t>
  </si>
  <si>
    <t>Output transient current protection</t>
  </si>
  <si>
    <t>SwBuckBoostOCP</t>
  </si>
  <si>
    <t>084</t>
  </si>
  <si>
    <t>BuckBoost software overcurrent</t>
  </si>
  <si>
    <t>SwAcRmsOCP</t>
  </si>
  <si>
    <t>085</t>
  </si>
  <si>
    <t>Output RMS current protection</t>
  </si>
  <si>
    <t>SwPvOCPInstant</t>
  </si>
  <si>
    <t>086</t>
  </si>
  <si>
    <t>PV instantaneous current overcurrent software protection</t>
  </si>
  <si>
    <t>IpvUnbalance</t>
  </si>
  <si>
    <t>087</t>
  </si>
  <si>
    <t>PV parallel uneven current</t>
  </si>
  <si>
    <t>IacUnbalance</t>
  </si>
  <si>
    <t>088</t>
  </si>
  <si>
    <t>Output current unbalance</t>
  </si>
  <si>
    <t>SwPvOCP</t>
  </si>
  <si>
    <t>089</t>
  </si>
  <si>
    <t>PV software overcurrent protection</t>
  </si>
  <si>
    <t>IbalanceOCP</t>
  </si>
  <si>
    <t>090</t>
  </si>
  <si>
    <t>Balanced circuit overcurrent protection</t>
  </si>
  <si>
    <t>ResOver</t>
  </si>
  <si>
    <t>091</t>
  </si>
  <si>
    <t>Resonance protection</t>
  </si>
  <si>
    <t>092</t>
  </si>
  <si>
    <t>093</t>
  </si>
  <si>
    <t>094</t>
  </si>
  <si>
    <t>095</t>
  </si>
  <si>
    <t>096</t>
  </si>
  <si>
    <t>HwLLCBusOVP</t>
  </si>
  <si>
    <t>097</t>
  </si>
  <si>
    <t>LLC bus hardware overvoltage</t>
  </si>
  <si>
    <t>Hardware signal</t>
  </si>
  <si>
    <t>HwBusOVP</t>
  </si>
  <si>
    <t>098</t>
  </si>
  <si>
    <t>Inverter bus hardware overvoltage</t>
  </si>
  <si>
    <t>HwBuckBoostOCP</t>
  </si>
  <si>
    <t>099</t>
  </si>
  <si>
    <t>BuckBoost hardware overcurrent</t>
  </si>
  <si>
    <t>HwBatOCP</t>
  </si>
  <si>
    <t>100</t>
  </si>
  <si>
    <t>Battery hardware overcurrent</t>
  </si>
  <si>
    <t>101</t>
  </si>
  <si>
    <t>HwPVOCP</t>
  </si>
  <si>
    <t>102</t>
  </si>
  <si>
    <t>PV hardware overcurrent</t>
  </si>
  <si>
    <t>HwACOCP</t>
  </si>
  <si>
    <t>103</t>
  </si>
  <si>
    <t>AC output hardware overcurrent</t>
  </si>
  <si>
    <t>104</t>
  </si>
  <si>
    <t>MeterCommFault</t>
  </si>
  <si>
    <t>105</t>
  </si>
  <si>
    <t>Power meter error</t>
  </si>
  <si>
    <t>Hardware signal reservation, overload</t>
  </si>
  <si>
    <t>SNMachineFault</t>
  </si>
  <si>
    <t>106</t>
  </si>
  <si>
    <t>Serial number model error</t>
  </si>
  <si>
    <t>107</t>
  </si>
  <si>
    <t>108</t>
  </si>
  <si>
    <t>109</t>
  </si>
  <si>
    <t>Overload1</t>
  </si>
  <si>
    <t>110</t>
  </si>
  <si>
    <t>Overload protection 1</t>
  </si>
  <si>
    <t>Overload2</t>
  </si>
  <si>
    <t>111</t>
  </si>
  <si>
    <t>Overload protection 2</t>
  </si>
  <si>
    <t>Overload3</t>
  </si>
  <si>
    <t>112</t>
  </si>
  <si>
    <t>Overload protection 3</t>
  </si>
  <si>
    <t>OverTempDerating</t>
  </si>
  <si>
    <t>113</t>
  </si>
  <si>
    <t>Overtemperature derating</t>
  </si>
  <si>
    <t>Load reduction</t>
  </si>
  <si>
    <t>This fault word is only used to generate an alarm and will not directly cause the system to enter a fault state.</t>
  </si>
  <si>
    <t>FreqDerating</t>
  </si>
  <si>
    <t>114</t>
  </si>
  <si>
    <t>Frequency down load</t>
  </si>
  <si>
    <t>FreqLoading</t>
  </si>
  <si>
    <t>115</t>
  </si>
  <si>
    <t>Frequency loading</t>
  </si>
  <si>
    <t>VoltDerating</t>
  </si>
  <si>
    <t>116</t>
  </si>
  <si>
    <t>Voltage down load</t>
  </si>
  <si>
    <t>VoltLoading</t>
  </si>
  <si>
    <t>117</t>
  </si>
  <si>
    <t>Voltage loading</t>
  </si>
  <si>
    <t>118</t>
  </si>
  <si>
    <t>119</t>
  </si>
  <si>
    <t>120</t>
  </si>
  <si>
    <t>SpdFail(DC)</t>
  </si>
  <si>
    <t>121</t>
  </si>
  <si>
    <t>Lightning protection failure (DC)</t>
  </si>
  <si>
    <t>Shut down</t>
  </si>
  <si>
    <t>SpdFail(AC)</t>
  </si>
  <si>
    <t>122</t>
  </si>
  <si>
    <t>Lightning protection failure (AC)</t>
  </si>
  <si>
    <t>123</t>
  </si>
  <si>
    <t>BatDchgProhibit</t>
  </si>
  <si>
    <t>124</t>
  </si>
  <si>
    <t>Battery low voltage protection</t>
  </si>
  <si>
    <t>BatLowVoltShut</t>
  </si>
  <si>
    <t>125</t>
  </si>
  <si>
    <t>Battery low voltage shutdown</t>
  </si>
  <si>
    <t>126</t>
  </si>
  <si>
    <t>Battery low voltage pre-alarm</t>
  </si>
  <si>
    <t>127</t>
  </si>
  <si>
    <t>128</t>
  </si>
  <si>
    <t>PermHwAcOCP</t>
  </si>
  <si>
    <t>129</t>
  </si>
  <si>
    <t>Output hardware overcurrent permanent fault</t>
  </si>
  <si>
    <t>Permanent</t>
  </si>
  <si>
    <t>PermBusOVP</t>
  </si>
  <si>
    <t>130</t>
  </si>
  <si>
    <t>Bus overvoltage permanent fault</t>
  </si>
  <si>
    <t>PermHwBusOVP</t>
  </si>
  <si>
    <t>131</t>
  </si>
  <si>
    <t>Bus hardware over-voltage permanent fault</t>
  </si>
  <si>
    <t>PermIpvUnbalance</t>
  </si>
  <si>
    <t>132</t>
  </si>
  <si>
    <t>PV uneven flow permanent fault</t>
  </si>
  <si>
    <t>PermEPSBatOCP</t>
  </si>
  <si>
    <t>133</t>
  </si>
  <si>
    <t>Battery overcurrent permanent fault in EPS mode</t>
  </si>
  <si>
    <t>PermAcOCPInstant</t>
  </si>
  <si>
    <t>134</t>
  </si>
  <si>
    <t>Output transient overcurrent permanent fault</t>
  </si>
  <si>
    <t>PermIacUnbalance</t>
  </si>
  <si>
    <t>135</t>
  </si>
  <si>
    <t>Output current unbalance permanent fault</t>
  </si>
  <si>
    <t>136</t>
  </si>
  <si>
    <t>PermInCfgError</t>
  </si>
  <si>
    <t>137</t>
  </si>
  <si>
    <t>Input mode setting error permanent fault</t>
  </si>
  <si>
    <t>PermDCOCPInstant</t>
  </si>
  <si>
    <t>138</t>
  </si>
  <si>
    <t>Input overcurrent permanent fault</t>
  </si>
  <si>
    <t>PermHwDCOCP</t>
  </si>
  <si>
    <t>139</t>
  </si>
  <si>
    <t>Input hardware overcurrent permanent fault</t>
  </si>
  <si>
    <t>PermRelayFail</t>
  </si>
  <si>
    <t>140</t>
  </si>
  <si>
    <t>Relay permanent fault</t>
  </si>
  <si>
    <t>PermBusUnbalance</t>
  </si>
  <si>
    <t>141</t>
  </si>
  <si>
    <t>Bus unbalance permanent fault</t>
  </si>
  <si>
    <t>PermSpdFail(DC)</t>
  </si>
  <si>
    <t>142</t>
  </si>
  <si>
    <t>Lightning protection permanent fault - DC side</t>
  </si>
  <si>
    <t>PermSpdFail(AC)</t>
  </si>
  <si>
    <t>143</t>
  </si>
  <si>
    <t>Lightning protection permanent fault - AC side</t>
  </si>
  <si>
    <t>144</t>
  </si>
  <si>
    <t>USBFault</t>
  </si>
  <si>
    <t>145</t>
  </si>
  <si>
    <t>USB fault</t>
  </si>
  <si>
    <t>ARM</t>
  </si>
  <si>
    <t>Communication board</t>
  </si>
  <si>
    <t>WifiFault</t>
  </si>
  <si>
    <t>146</t>
  </si>
  <si>
    <t>WIFI fault</t>
  </si>
  <si>
    <t>BluetoothFault</t>
  </si>
  <si>
    <t>147</t>
  </si>
  <si>
    <t>Bluetooth fault</t>
  </si>
  <si>
    <t>RTCFault</t>
  </si>
  <si>
    <t>148</t>
  </si>
  <si>
    <t>RTC clock fault</t>
  </si>
  <si>
    <t>CommEEPROMFault</t>
  </si>
  <si>
    <t>149</t>
  </si>
  <si>
    <t>Communication board EEPROM error</t>
  </si>
  <si>
    <t>FlashFault</t>
  </si>
  <si>
    <t>150</t>
  </si>
  <si>
    <t>Communication board FLASH error</t>
  </si>
  <si>
    <t>151</t>
  </si>
  <si>
    <t>SafetyVerFault</t>
  </si>
  <si>
    <t>152</t>
  </si>
  <si>
    <t>Safety regulation version error</t>
  </si>
  <si>
    <t>SCILose(DC)</t>
  </si>
  <si>
    <t>153</t>
  </si>
  <si>
    <t>SCI communication error (DC side)</t>
  </si>
  <si>
    <t>SCILose(AC)</t>
  </si>
  <si>
    <t>154</t>
  </si>
  <si>
    <t>SCI communication error (AC side)</t>
  </si>
  <si>
    <t>SCILose(Fuse)</t>
  </si>
  <si>
    <t>155</t>
  </si>
  <si>
    <t>SCI communication error (convergence board side)</t>
  </si>
  <si>
    <t>SoftVerError</t>
  </si>
  <si>
    <t>156</t>
  </si>
  <si>
    <t>Software version inconsistency</t>
  </si>
  <si>
    <t>BMS1CommFault</t>
  </si>
  <si>
    <t>157</t>
  </si>
  <si>
    <t>Lithium battery 1 communication error</t>
  </si>
  <si>
    <t>BMS2CommFault</t>
  </si>
  <si>
    <t>158</t>
  </si>
  <si>
    <t>Li-ion battery 2 communication error</t>
  </si>
  <si>
    <t>BMS3CommFault</t>
  </si>
  <si>
    <t>159</t>
  </si>
  <si>
    <t>Lithium battery 3 communication error</t>
  </si>
  <si>
    <t>BMS4CommFault</t>
  </si>
  <si>
    <t>160</t>
  </si>
  <si>
    <t>Lithium battery 4 communication failure</t>
  </si>
  <si>
    <t>ForceShutdown</t>
  </si>
  <si>
    <t>161</t>
  </si>
  <si>
    <t>Forced shutdown</t>
  </si>
  <si>
    <t>The communication board is shut down and the load is reduced</t>
  </si>
  <si>
    <t>RemoteShutdown</t>
  </si>
  <si>
    <t>162</t>
  </si>
  <si>
    <t>Remote shutdown</t>
  </si>
  <si>
    <t>Drms0Shutdown</t>
  </si>
  <si>
    <t>163</t>
  </si>
  <si>
    <t>Drms0 shutdown</t>
  </si>
  <si>
    <t>164</t>
  </si>
  <si>
    <t>RemoteDerating</t>
  </si>
  <si>
    <t>165</t>
  </si>
  <si>
    <t>Remote down load</t>
  </si>
  <si>
    <t>LogicIfDerating</t>
  </si>
  <si>
    <t>166</t>
  </si>
  <si>
    <t>Logic interface down load</t>
  </si>
  <si>
    <t>AlarmAntiReflux</t>
  </si>
  <si>
    <t>167</t>
  </si>
  <si>
    <t>Anti-Reverse Flow Downgrade</t>
  </si>
  <si>
    <t>168</t>
  </si>
  <si>
    <t>FanFault1</t>
  </si>
  <si>
    <t>169</t>
  </si>
  <si>
    <t>Fan 1 failure</t>
  </si>
  <si>
    <t>External components</t>
  </si>
  <si>
    <t>FanFault2</t>
  </si>
  <si>
    <t>170</t>
  </si>
  <si>
    <t>Fan 2 failure</t>
  </si>
  <si>
    <t>FanFault3</t>
  </si>
  <si>
    <t>171</t>
  </si>
  <si>
    <t>Fan 3 failure</t>
  </si>
  <si>
    <t>FanFault4</t>
  </si>
  <si>
    <t>172</t>
  </si>
  <si>
    <t>Fan 4 failure</t>
  </si>
  <si>
    <t>FanFault5</t>
  </si>
  <si>
    <t>173</t>
  </si>
  <si>
    <t>Fan 5 failure</t>
  </si>
  <si>
    <t>FanFault6</t>
  </si>
  <si>
    <t>174</t>
  </si>
  <si>
    <t>Fan 6 failure</t>
  </si>
  <si>
    <t>FanFault7</t>
  </si>
  <si>
    <t>175</t>
  </si>
  <si>
    <t>Fan 7 fault</t>
  </si>
  <si>
    <t>MeterCommLose</t>
  </si>
  <si>
    <t>176</t>
  </si>
  <si>
    <t>Meter communication failure</t>
  </si>
  <si>
    <r>
      <rPr>
        <sz val="11"/>
        <color theme="1"/>
        <rFont val="Tahoma"/>
        <charset val="134"/>
      </rPr>
      <t>A</t>
    </r>
    <r>
      <rPr>
        <sz val="11"/>
        <color theme="1"/>
        <rFont val="Tahoma"/>
        <charset val="134"/>
      </rPr>
      <t>RM</t>
    </r>
  </si>
  <si>
    <t>BMS OVP</t>
  </si>
  <si>
    <t>177</t>
  </si>
  <si>
    <t>BMS over-voltage alarm</t>
  </si>
  <si>
    <t>BMS</t>
  </si>
  <si>
    <t>BMS UVP</t>
  </si>
  <si>
    <t>178</t>
  </si>
  <si>
    <t>BMS undervoltage alarm</t>
  </si>
  <si>
    <t>BMS OTP</t>
  </si>
  <si>
    <t>179</t>
  </si>
  <si>
    <t>BMS high temperature alarm</t>
  </si>
  <si>
    <t>BMS UTP</t>
  </si>
  <si>
    <t>180</t>
  </si>
  <si>
    <t>BMS low temperature alarm</t>
  </si>
  <si>
    <t>BMS OCP</t>
  </si>
  <si>
    <t>181</t>
  </si>
  <si>
    <t>BMS charge/discharge overload alarm</t>
  </si>
  <si>
    <t>BMS Short</t>
  </si>
  <si>
    <t>182</t>
  </si>
  <si>
    <t>BMS short circuit alarm</t>
  </si>
  <si>
    <t>BMS VerFault</t>
  </si>
  <si>
    <t>183</t>
  </si>
  <si>
    <t>BMS version inconsistency</t>
  </si>
  <si>
    <t>BMS CAN VerFault</t>
  </si>
  <si>
    <t>184</t>
  </si>
  <si>
    <t>BMS CAN version inconsistency</t>
  </si>
  <si>
    <t>BMS CAN VerLow</t>
  </si>
  <si>
    <t>185</t>
  </si>
  <si>
    <t>BMS CAN version is too low</t>
  </si>
  <si>
    <t>186</t>
  </si>
  <si>
    <t>187</t>
  </si>
  <si>
    <t>188</t>
  </si>
  <si>
    <t>AFCICommLose</t>
  </si>
  <si>
    <t>189</t>
  </si>
  <si>
    <t>Arc device communication failure</t>
  </si>
  <si>
    <t>DCArcingAlarm</t>
  </si>
  <si>
    <t>190</t>
  </si>
  <si>
    <t>DC arc alarm fault</t>
  </si>
  <si>
    <t>PID_Output_Fail</t>
  </si>
  <si>
    <t>191</t>
  </si>
  <si>
    <t>PID repair failed</t>
  </si>
  <si>
    <t>PLC_Com_Fail</t>
  </si>
  <si>
    <t>192</t>
  </si>
  <si>
    <t>PLC module heartbeat loss</t>
  </si>
  <si>
    <t>StrFuseALM1-1</t>
  </si>
  <si>
    <t>193</t>
  </si>
  <si>
    <t>String fuse open circuit alarm 1-1</t>
  </si>
  <si>
    <t>FUSE</t>
  </si>
  <si>
    <t>StrFuseALM1-2</t>
  </si>
  <si>
    <t>194</t>
  </si>
  <si>
    <t>String fuse open circuit alarm 1-2</t>
  </si>
  <si>
    <t>StrFuseALM2-1</t>
  </si>
  <si>
    <t>195</t>
  </si>
  <si>
    <t>String fuse open circuit alarm 2-1</t>
  </si>
  <si>
    <t>StrFuseALM2-2</t>
  </si>
  <si>
    <t>196</t>
  </si>
  <si>
    <t>String fuse open circuit alarm 2-2</t>
  </si>
  <si>
    <t>StrFuseALM3-1</t>
  </si>
  <si>
    <t>197</t>
  </si>
  <si>
    <t>String fuse open circuit alarm 3-1</t>
  </si>
  <si>
    <t>StrFuseALM3-2</t>
  </si>
  <si>
    <t>198</t>
  </si>
  <si>
    <t>String fuse open circuit alarm 3-2</t>
  </si>
  <si>
    <t>StrFuseALM4-1</t>
  </si>
  <si>
    <t>199</t>
  </si>
  <si>
    <t>String fuse open circuit alarm 4-1</t>
  </si>
  <si>
    <t>StrFuseALM4-2</t>
  </si>
  <si>
    <t>200</t>
  </si>
  <si>
    <t>String fuse open circuit alarm 4-2</t>
  </si>
  <si>
    <t>StrFuseALM5-1</t>
  </si>
  <si>
    <t>201</t>
  </si>
  <si>
    <t>String fuse open circuit alarm 5-1</t>
  </si>
  <si>
    <t>StrFuseALM5-2</t>
  </si>
  <si>
    <t>202</t>
  </si>
  <si>
    <t>String fuse open circuit alarm 5-2</t>
  </si>
  <si>
    <t>StrFuseALM6-1</t>
  </si>
  <si>
    <t>203</t>
  </si>
  <si>
    <t>String fuse open circuit alarm 6-1</t>
  </si>
  <si>
    <t>StrFuseALM6-2</t>
  </si>
  <si>
    <t>204</t>
  </si>
  <si>
    <t>String fuse open circuit alarm 6-2</t>
  </si>
  <si>
    <t>StrFuseALM7-1</t>
  </si>
  <si>
    <t>205</t>
  </si>
  <si>
    <t>String fuse open circuit alarm 7-1</t>
  </si>
  <si>
    <t>StrFuseALM7-2</t>
  </si>
  <si>
    <t>206</t>
  </si>
  <si>
    <t>String fuse open circuit alarm 7-2</t>
  </si>
  <si>
    <t>StrFuseALM8-1</t>
  </si>
  <si>
    <t>207</t>
  </si>
  <si>
    <t>String fuse open circuit alarm 8-1</t>
  </si>
  <si>
    <t>StrFuseALM8-2</t>
  </si>
  <si>
    <t>208</t>
  </si>
  <si>
    <t>String fuse open circuit alarm 8-2</t>
  </si>
  <si>
    <t>StrFuseALM9-1</t>
  </si>
  <si>
    <t>209</t>
  </si>
  <si>
    <t>String fuse open circuit alarm 9-1</t>
  </si>
  <si>
    <t>StrFuseALM9-2</t>
  </si>
  <si>
    <t>210</t>
  </si>
  <si>
    <t>String fuse open circuit alarm 9-2</t>
  </si>
  <si>
    <t>StrFuseALM10-1</t>
  </si>
  <si>
    <t>211</t>
  </si>
  <si>
    <t>String fuse open circuit alarm 10-1</t>
  </si>
  <si>
    <t>StrFuseALM10-2</t>
  </si>
  <si>
    <t>212</t>
  </si>
  <si>
    <t>String fuse open circuit alarm 10-2</t>
  </si>
  <si>
    <t>StrFuseALM11-1</t>
  </si>
  <si>
    <t>213</t>
  </si>
  <si>
    <t>String fuse open circuit alarm 11-1</t>
  </si>
  <si>
    <t>StrFuseALM11-2</t>
  </si>
  <si>
    <t>214</t>
  </si>
  <si>
    <t>String fuse open circuit alarm 11-2</t>
  </si>
  <si>
    <t>StrFuseALM12-1</t>
  </si>
  <si>
    <t>215</t>
  </si>
  <si>
    <t>String fuse open circuit alarm 12-1</t>
  </si>
  <si>
    <t>StrFuseALM12-2</t>
  </si>
  <si>
    <t>216</t>
  </si>
  <si>
    <t>String fuse open circuit alarm 12-2</t>
  </si>
  <si>
    <t>StrFuseALM13-1</t>
  </si>
  <si>
    <t>217</t>
  </si>
  <si>
    <t>String fuse open circuit alarm 13-1</t>
  </si>
  <si>
    <t>StrFuseALM13-2</t>
  </si>
  <si>
    <t>218</t>
  </si>
  <si>
    <t>String fuse open circuit alarm 13-2</t>
  </si>
  <si>
    <t>StrFuseALM14-1</t>
  </si>
  <si>
    <t>219</t>
  </si>
  <si>
    <t>String fuse open circuit alarm 14-1</t>
  </si>
  <si>
    <t>StrFuseALM14-2</t>
  </si>
  <si>
    <t>220</t>
  </si>
  <si>
    <t>String fuse open circuit alarm 14-2</t>
  </si>
  <si>
    <t>StrFuseALM15-1</t>
  </si>
  <si>
    <t>221</t>
  </si>
  <si>
    <t>String fuse open circuit alarm 15-1</t>
  </si>
  <si>
    <t>StrFuseALM15-2</t>
  </si>
  <si>
    <t>222</t>
  </si>
  <si>
    <t>String fuse open circuit alarm 15-2</t>
  </si>
  <si>
    <t>StrFuseALM16-1</t>
  </si>
  <si>
    <t>223</t>
  </si>
  <si>
    <t>String fuse open circuit alarm 16-1</t>
  </si>
  <si>
    <t>StrFuseALM16-2</t>
  </si>
  <si>
    <t>224</t>
  </si>
  <si>
    <t>String fuse open circuit alarm 16-2</t>
  </si>
  <si>
    <t>InputFuseALM0</t>
  </si>
  <si>
    <t>225</t>
  </si>
  <si>
    <t>Battery input fuse open circuit alarm 0</t>
  </si>
  <si>
    <t>InputFuseALM1</t>
  </si>
  <si>
    <t>226</t>
  </si>
  <si>
    <t>Battery input fuse open circuit alarm 1</t>
  </si>
  <si>
    <t>InputFuseALM2</t>
  </si>
  <si>
    <t>227</t>
  </si>
  <si>
    <t>Battery input fuse open circuit alarm 2</t>
  </si>
  <si>
    <t>InputFuseALM3</t>
  </si>
  <si>
    <t>228</t>
  </si>
  <si>
    <t>Battery input fuse open circuit alarm 3</t>
  </si>
  <si>
    <t>InputFuseALM4</t>
  </si>
  <si>
    <t>229</t>
  </si>
  <si>
    <t>Battery input fuse open circuit alarm 4</t>
  </si>
  <si>
    <t>InputFuseALM5</t>
  </si>
  <si>
    <t>230</t>
  </si>
  <si>
    <t>Battery input fuse open circuit alarm 5</t>
  </si>
  <si>
    <t>InputFuseALM6</t>
  </si>
  <si>
    <t>231</t>
  </si>
  <si>
    <t>Battery input fuse open circuit alarm 6</t>
  </si>
  <si>
    <t>InputFuseALM7</t>
  </si>
  <si>
    <t>232</t>
  </si>
  <si>
    <t>Battery input fuse open circuit alarm 7</t>
  </si>
  <si>
    <t>InputFuseALM8</t>
  </si>
  <si>
    <t>233</t>
  </si>
  <si>
    <t>Battery input fuse open circuit alarm 8</t>
  </si>
  <si>
    <t>InputFuseALM9</t>
  </si>
  <si>
    <t>234</t>
  </si>
  <si>
    <t>Battery input fuse open circuit alarm 9</t>
  </si>
  <si>
    <t>InputFuseALM10</t>
  </si>
  <si>
    <t>235</t>
  </si>
  <si>
    <t>Battery input fuse open circuit alarm 10</t>
  </si>
  <si>
    <t>InputFuseALM11</t>
  </si>
  <si>
    <t>236</t>
  </si>
  <si>
    <t>Battery input fuse open circuit alarm 11</t>
  </si>
  <si>
    <t>InputFuseALM12</t>
  </si>
  <si>
    <t>237</t>
  </si>
  <si>
    <t>Battery input fuse open circuit alarm 12</t>
  </si>
  <si>
    <t>InputFuseALM13</t>
  </si>
  <si>
    <t>238</t>
  </si>
  <si>
    <t>Battery input fuse open circuit alarm 13</t>
  </si>
  <si>
    <t>InputFuseALM14</t>
  </si>
  <si>
    <t>239</t>
  </si>
  <si>
    <t>Battery input fuse open circuit alarm 14</t>
  </si>
  <si>
    <t>InputFuseALM15</t>
  </si>
  <si>
    <t>240</t>
  </si>
  <si>
    <t>Battery input fuse open circuit alarm 15</t>
  </si>
  <si>
    <t>CombinerOVGp1</t>
  </si>
  <si>
    <t>241</t>
  </si>
  <si>
    <t>Confluence</t>
  </si>
  <si>
    <t>CombinerOVGp2</t>
  </si>
  <si>
    <t>242</t>
  </si>
  <si>
    <t>CombinerOVGp3</t>
  </si>
  <si>
    <t>243</t>
  </si>
  <si>
    <t>CombinerOVGp4</t>
  </si>
  <si>
    <t>244</t>
  </si>
  <si>
    <t>CombinerOVGp5</t>
  </si>
  <si>
    <t>245</t>
  </si>
  <si>
    <t>CombinerOVGp6</t>
  </si>
  <si>
    <t>246</t>
  </si>
  <si>
    <t>CombinerOVGp7</t>
  </si>
  <si>
    <t>247</t>
  </si>
  <si>
    <t>CombinerOVGp8</t>
  </si>
  <si>
    <t>248</t>
  </si>
  <si>
    <t>CombinerOVGp9</t>
  </si>
  <si>
    <t>249</t>
  </si>
  <si>
    <t>CombinerOVGp10</t>
  </si>
  <si>
    <t>250</t>
  </si>
  <si>
    <t>CombinerOVGp11</t>
  </si>
  <si>
    <t>251</t>
  </si>
  <si>
    <t>CombinerOVGp12</t>
  </si>
  <si>
    <t>252</t>
  </si>
  <si>
    <t>CombinerOVGp13</t>
  </si>
  <si>
    <t>253</t>
  </si>
  <si>
    <t>CombinerOVGp14</t>
  </si>
  <si>
    <t>254</t>
  </si>
  <si>
    <t>CombinerOVGp15</t>
  </si>
  <si>
    <t>255</t>
  </si>
  <si>
    <t>CombinerOVGp16</t>
  </si>
  <si>
    <t>256</t>
  </si>
  <si>
    <t>CombinerUVGp1</t>
  </si>
  <si>
    <t>257</t>
  </si>
  <si>
    <t>CombinerUVGp2</t>
  </si>
  <si>
    <t>258</t>
  </si>
  <si>
    <t>CombinerUVGp3</t>
  </si>
  <si>
    <t>259</t>
  </si>
  <si>
    <t>CombinerUVGp4</t>
  </si>
  <si>
    <t>260</t>
  </si>
  <si>
    <t>CombinerUVGp5</t>
  </si>
  <si>
    <t>261</t>
  </si>
  <si>
    <t>CombinerUVGp6</t>
  </si>
  <si>
    <t>262</t>
  </si>
  <si>
    <t>CombinerUVGp7</t>
  </si>
  <si>
    <t>263</t>
  </si>
  <si>
    <t>CombinerUVGp8</t>
  </si>
  <si>
    <t>264</t>
  </si>
  <si>
    <t>CombinerUVGp9</t>
  </si>
  <si>
    <t>265</t>
  </si>
  <si>
    <t>CombinerUVGp10</t>
  </si>
  <si>
    <t>266</t>
  </si>
  <si>
    <t>CombinerUVGp11</t>
  </si>
  <si>
    <t>267</t>
  </si>
  <si>
    <t>CombinerUVGp12</t>
  </si>
  <si>
    <t>268</t>
  </si>
  <si>
    <t>CombinerUVGp13</t>
  </si>
  <si>
    <t>269</t>
  </si>
  <si>
    <t>CombinerUVGp14</t>
  </si>
  <si>
    <t>270</t>
  </si>
  <si>
    <t>CombinerUVGp15</t>
  </si>
  <si>
    <t>271</t>
  </si>
  <si>
    <t>CombinerUVGp16</t>
  </si>
  <si>
    <t>272</t>
  </si>
  <si>
    <t>CombinerOC1</t>
  </si>
  <si>
    <t>273</t>
  </si>
  <si>
    <t>CombinerOC2</t>
  </si>
  <si>
    <t>274</t>
  </si>
  <si>
    <t>CombinerOC3</t>
  </si>
  <si>
    <t>275</t>
  </si>
  <si>
    <t>CombinerOC4</t>
  </si>
  <si>
    <t>276</t>
  </si>
  <si>
    <t>CombinerOC5</t>
  </si>
  <si>
    <t>277</t>
  </si>
  <si>
    <t>CombinerOC6</t>
  </si>
  <si>
    <t>278</t>
  </si>
  <si>
    <t>CombinerOC7</t>
  </si>
  <si>
    <t>279</t>
  </si>
  <si>
    <t>CombinerOC8</t>
  </si>
  <si>
    <t>280</t>
  </si>
  <si>
    <t>CombinerOC9</t>
  </si>
  <si>
    <t>281</t>
  </si>
  <si>
    <t>CombinerOC10</t>
  </si>
  <si>
    <t>282</t>
  </si>
  <si>
    <t>CombinerOC11</t>
  </si>
  <si>
    <t>283</t>
  </si>
  <si>
    <t>CombinerOC12</t>
  </si>
  <si>
    <t>284</t>
  </si>
  <si>
    <t>CombinerOC13</t>
  </si>
  <si>
    <t>285</t>
  </si>
  <si>
    <t>CombinerOC14</t>
  </si>
  <si>
    <t>286</t>
  </si>
  <si>
    <t>CombinerOC15</t>
  </si>
  <si>
    <t>287</t>
  </si>
  <si>
    <t>CombinerOC16</t>
  </si>
  <si>
    <t>288</t>
  </si>
  <si>
    <t>CombinerOC17</t>
  </si>
  <si>
    <t>289</t>
  </si>
  <si>
    <t>CombinerOC18</t>
  </si>
  <si>
    <t>290</t>
  </si>
  <si>
    <t>CombinerOC19</t>
  </si>
  <si>
    <t>291</t>
  </si>
  <si>
    <t>CombinerOC20</t>
  </si>
  <si>
    <t>292</t>
  </si>
  <si>
    <t>CombinerOC21</t>
  </si>
  <si>
    <t>293</t>
  </si>
  <si>
    <t>CombinerOC22</t>
  </si>
  <si>
    <t>294</t>
  </si>
  <si>
    <t>CombinerOC23</t>
  </si>
  <si>
    <t>295</t>
  </si>
  <si>
    <t>CombinerOC24</t>
  </si>
  <si>
    <t>296</t>
  </si>
  <si>
    <t>CombinerOC25</t>
  </si>
  <si>
    <t>297</t>
  </si>
  <si>
    <t>CombinerOC26</t>
  </si>
  <si>
    <t>298</t>
  </si>
  <si>
    <t>CombinerOC27</t>
  </si>
  <si>
    <t>299</t>
  </si>
  <si>
    <t>CombinerOC28</t>
  </si>
  <si>
    <t>300</t>
  </si>
  <si>
    <t>CombinerOC29</t>
  </si>
  <si>
    <t>301</t>
  </si>
  <si>
    <t>CombinerOC30</t>
  </si>
  <si>
    <t>302</t>
  </si>
  <si>
    <t>CombinerOC31</t>
  </si>
  <si>
    <t>303</t>
  </si>
  <si>
    <t>CombinerOC32</t>
  </si>
  <si>
    <t>304</t>
  </si>
  <si>
    <t>305</t>
  </si>
  <si>
    <t>306</t>
  </si>
  <si>
    <t>307</t>
  </si>
  <si>
    <t>308</t>
  </si>
  <si>
    <t>309</t>
  </si>
  <si>
    <t>310</t>
  </si>
  <si>
    <t>311</t>
  </si>
  <si>
    <t>312</t>
  </si>
  <si>
    <t>313</t>
  </si>
  <si>
    <t>314</t>
  </si>
  <si>
    <t>315</t>
  </si>
  <si>
    <t>316</t>
  </si>
  <si>
    <t>317</t>
  </si>
  <si>
    <t>318</t>
  </si>
  <si>
    <t>319</t>
  </si>
  <si>
    <t>320</t>
  </si>
  <si>
    <t>321</t>
  </si>
  <si>
    <t>322</t>
  </si>
  <si>
    <t>323</t>
  </si>
  <si>
    <t>324</t>
  </si>
  <si>
    <t>325</t>
  </si>
  <si>
    <t>326</t>
  </si>
  <si>
    <t>327</t>
  </si>
  <si>
    <t>328</t>
  </si>
  <si>
    <t>329</t>
  </si>
  <si>
    <t>330</t>
  </si>
  <si>
    <t>331</t>
  </si>
  <si>
    <t>332</t>
  </si>
  <si>
    <t>333</t>
  </si>
  <si>
    <t>334</t>
  </si>
  <si>
    <t>335</t>
  </si>
  <si>
    <t>336</t>
  </si>
  <si>
    <t>CombinerRefluxFault1</t>
  </si>
  <si>
    <t>337</t>
  </si>
  <si>
    <t>CombinerRefluxFault2</t>
  </si>
  <si>
    <t>338</t>
  </si>
  <si>
    <t>CombinerRefluxFault3</t>
  </si>
  <si>
    <t>339</t>
  </si>
  <si>
    <t>CombinerRefluxFault4</t>
  </si>
  <si>
    <t>340</t>
  </si>
  <si>
    <t>CombinerRefluxFault5</t>
  </si>
  <si>
    <t>341</t>
  </si>
  <si>
    <t>CombinerRefluxFault6</t>
  </si>
  <si>
    <t>342</t>
  </si>
  <si>
    <t>CombinerRefluxFault7</t>
  </si>
  <si>
    <t>343</t>
  </si>
  <si>
    <t>CombinerRefluxFault8</t>
  </si>
  <si>
    <t>344</t>
  </si>
  <si>
    <t>CombinerRefluxFault9</t>
  </si>
  <si>
    <t>345</t>
  </si>
  <si>
    <t>CombinerRefluxFault10</t>
  </si>
  <si>
    <t>346</t>
  </si>
  <si>
    <t>CombinerRefluxFault11</t>
  </si>
  <si>
    <t>347</t>
  </si>
  <si>
    <t>CombinerRefluxFault12</t>
  </si>
  <si>
    <t>348</t>
  </si>
  <si>
    <t>CombinerRefluxFault13</t>
  </si>
  <si>
    <t>349</t>
  </si>
  <si>
    <t>CombinerRefluxFault14</t>
  </si>
  <si>
    <t>350</t>
  </si>
  <si>
    <t>CombinerRefluxFault15</t>
  </si>
  <si>
    <t>351</t>
  </si>
  <si>
    <t>CombinerRefluxFault16</t>
  </si>
  <si>
    <t>352</t>
  </si>
  <si>
    <t>CombinerRefluxFault17</t>
  </si>
  <si>
    <t>353</t>
  </si>
  <si>
    <t>CombinerRefluxFault18</t>
  </si>
  <si>
    <t>354</t>
  </si>
  <si>
    <t>CombinerRefluxFault19</t>
  </si>
  <si>
    <t>355</t>
  </si>
  <si>
    <t>CombinerRefluxFault20</t>
  </si>
  <si>
    <t>356</t>
  </si>
  <si>
    <t>CombinerRefluxFault21</t>
  </si>
  <si>
    <t>357</t>
  </si>
  <si>
    <t>CombinerRefluxFault22</t>
  </si>
  <si>
    <t>358</t>
  </si>
  <si>
    <t>CombinerRefluxFault23</t>
  </si>
  <si>
    <t>359</t>
  </si>
  <si>
    <t>CombinerRefluxFault24</t>
  </si>
  <si>
    <t>360</t>
  </si>
  <si>
    <t>CombinerRefluxFault25</t>
  </si>
  <si>
    <t>361</t>
  </si>
  <si>
    <t>CombinerRefluxFault26</t>
  </si>
  <si>
    <t>362</t>
  </si>
  <si>
    <t>CombinerRefluxFault27</t>
  </si>
  <si>
    <t>363</t>
  </si>
  <si>
    <t>CombinerRefluxFault28</t>
  </si>
  <si>
    <t>364</t>
  </si>
  <si>
    <t>CombinerRefluxFault29</t>
  </si>
  <si>
    <t>365</t>
  </si>
  <si>
    <t>CombinerRefluxFault30</t>
  </si>
  <si>
    <t>366</t>
  </si>
  <si>
    <t>CombinerRefluxFault31</t>
  </si>
  <si>
    <t>367</t>
  </si>
  <si>
    <t>CombinerRefluxFault32</t>
  </si>
  <si>
    <t>368</t>
  </si>
  <si>
    <t>369</t>
  </si>
  <si>
    <t>370</t>
  </si>
  <si>
    <t>371</t>
  </si>
  <si>
    <t>372</t>
  </si>
  <si>
    <t>373</t>
  </si>
  <si>
    <t>374</t>
  </si>
  <si>
    <t>375</t>
  </si>
  <si>
    <t>376</t>
  </si>
  <si>
    <t>377</t>
  </si>
  <si>
    <t>378</t>
  </si>
  <si>
    <t>379</t>
  </si>
  <si>
    <t>380</t>
  </si>
  <si>
    <t>381</t>
  </si>
  <si>
    <t>382</t>
  </si>
  <si>
    <t>383</t>
  </si>
  <si>
    <t>384</t>
  </si>
  <si>
    <t>385</t>
  </si>
  <si>
    <t>386</t>
  </si>
  <si>
    <t>387</t>
  </si>
  <si>
    <t>388</t>
  </si>
  <si>
    <t>389</t>
  </si>
  <si>
    <t>390</t>
  </si>
  <si>
    <t>391</t>
  </si>
  <si>
    <t>392</t>
  </si>
  <si>
    <t>393</t>
  </si>
  <si>
    <t>394</t>
  </si>
  <si>
    <t>395</t>
  </si>
  <si>
    <t>396</t>
  </si>
  <si>
    <t>397</t>
  </si>
  <si>
    <t>398</t>
  </si>
  <si>
    <t>399</t>
  </si>
  <si>
    <t>400</t>
  </si>
  <si>
    <t>AFCI0</t>
  </si>
  <si>
    <t>401</t>
  </si>
  <si>
    <t>Arc fault</t>
  </si>
  <si>
    <t>AFCI</t>
  </si>
  <si>
    <t>AFCI1</t>
  </si>
  <si>
    <t>402</t>
  </si>
  <si>
    <t>AFCI2</t>
  </si>
  <si>
    <t>403</t>
  </si>
  <si>
    <t>AFCI3</t>
  </si>
  <si>
    <t>404</t>
  </si>
  <si>
    <t>AFCI4</t>
  </si>
  <si>
    <t>405</t>
  </si>
  <si>
    <t>AFCI5</t>
  </si>
  <si>
    <t>406</t>
  </si>
  <si>
    <t>AFCI6</t>
  </si>
  <si>
    <t>407</t>
  </si>
  <si>
    <t>AFCI7</t>
  </si>
  <si>
    <t>408</t>
  </si>
  <si>
    <t>AFCI8</t>
  </si>
  <si>
    <t>409</t>
  </si>
  <si>
    <t>AFCI9</t>
  </si>
  <si>
    <t>410</t>
  </si>
  <si>
    <t>AFCI10</t>
  </si>
  <si>
    <t>411</t>
  </si>
  <si>
    <t>AFCI11</t>
  </si>
  <si>
    <t>412</t>
  </si>
  <si>
    <t>AFCI12</t>
  </si>
  <si>
    <t>413</t>
  </si>
  <si>
    <t>AFCI13</t>
  </si>
  <si>
    <t>414</t>
  </si>
  <si>
    <t>AFCI14</t>
  </si>
  <si>
    <t>415</t>
  </si>
  <si>
    <t>AFCI15</t>
  </si>
  <si>
    <t>416</t>
  </si>
  <si>
    <r>
      <rPr>
        <sz val="11"/>
        <color theme="1"/>
        <rFont val="Tahoma"/>
        <charset val="134"/>
      </rPr>
      <t>Fault2</t>
    </r>
    <r>
      <rPr>
        <sz val="11"/>
        <color theme="1"/>
        <rFont val="Tahoma"/>
        <charset val="134"/>
      </rPr>
      <t>7</t>
    </r>
  </si>
  <si>
    <r>
      <rPr>
        <sz val="11"/>
        <color theme="1"/>
        <rFont val="Tahoma"/>
        <charset val="134"/>
      </rPr>
      <t>AFCI</t>
    </r>
    <r>
      <rPr>
        <sz val="11"/>
        <color theme="1"/>
        <rFont val="Tahoma"/>
        <charset val="134"/>
      </rPr>
      <t>16</t>
    </r>
  </si>
  <si>
    <t>417</t>
  </si>
  <si>
    <r>
      <rPr>
        <sz val="11"/>
        <color theme="1"/>
        <rFont val="Tahoma"/>
        <charset val="134"/>
      </rPr>
      <t>AFCI</t>
    </r>
    <r>
      <rPr>
        <sz val="11"/>
        <color theme="1"/>
        <rFont val="Tahoma"/>
        <charset val="134"/>
      </rPr>
      <t>17</t>
    </r>
  </si>
  <si>
    <t>418</t>
  </si>
  <si>
    <r>
      <rPr>
        <sz val="11"/>
        <color theme="1"/>
        <rFont val="Tahoma"/>
        <charset val="134"/>
      </rPr>
      <t>AFCI</t>
    </r>
    <r>
      <rPr>
        <sz val="11"/>
        <color theme="1"/>
        <rFont val="Tahoma"/>
        <charset val="134"/>
      </rPr>
      <t>18</t>
    </r>
  </si>
  <si>
    <t>419</t>
  </si>
  <si>
    <r>
      <rPr>
        <sz val="11"/>
        <color theme="1"/>
        <rFont val="Tahoma"/>
        <charset val="134"/>
      </rPr>
      <t>AFCI</t>
    </r>
    <r>
      <rPr>
        <sz val="11"/>
        <color theme="1"/>
        <rFont val="Tahoma"/>
        <charset val="134"/>
      </rPr>
      <t>19</t>
    </r>
  </si>
  <si>
    <t>420</t>
  </si>
  <si>
    <r>
      <rPr>
        <sz val="11"/>
        <color theme="1"/>
        <rFont val="Tahoma"/>
        <charset val="134"/>
      </rPr>
      <t>AFCI</t>
    </r>
    <r>
      <rPr>
        <sz val="11"/>
        <color theme="1"/>
        <rFont val="Tahoma"/>
        <charset val="134"/>
      </rPr>
      <t>20</t>
    </r>
  </si>
  <si>
    <t>421</t>
  </si>
  <si>
    <r>
      <rPr>
        <sz val="11"/>
        <color theme="1"/>
        <rFont val="Tahoma"/>
        <charset val="134"/>
      </rPr>
      <t>AFCI</t>
    </r>
    <r>
      <rPr>
        <sz val="11"/>
        <color theme="1"/>
        <rFont val="Tahoma"/>
        <charset val="134"/>
      </rPr>
      <t>21</t>
    </r>
  </si>
  <si>
    <t>422</t>
  </si>
  <si>
    <r>
      <rPr>
        <sz val="11"/>
        <color theme="1"/>
        <rFont val="Tahoma"/>
        <charset val="134"/>
      </rPr>
      <t>AFCI</t>
    </r>
    <r>
      <rPr>
        <sz val="11"/>
        <color theme="1"/>
        <rFont val="Tahoma"/>
        <charset val="134"/>
      </rPr>
      <t>22</t>
    </r>
  </si>
  <si>
    <t>423</t>
  </si>
  <si>
    <r>
      <rPr>
        <sz val="11"/>
        <color theme="1"/>
        <rFont val="Tahoma"/>
        <charset val="134"/>
      </rPr>
      <t>AFCI</t>
    </r>
    <r>
      <rPr>
        <sz val="11"/>
        <color theme="1"/>
        <rFont val="Tahoma"/>
        <charset val="134"/>
      </rPr>
      <t>23</t>
    </r>
  </si>
  <si>
    <t>424</t>
  </si>
  <si>
    <r>
      <rPr>
        <sz val="11"/>
        <color theme="1"/>
        <rFont val="Tahoma"/>
        <charset val="134"/>
      </rPr>
      <t>AFCI</t>
    </r>
    <r>
      <rPr>
        <sz val="11"/>
        <color theme="1"/>
        <rFont val="Tahoma"/>
        <charset val="134"/>
      </rPr>
      <t>24</t>
    </r>
  </si>
  <si>
    <t>425</t>
  </si>
  <si>
    <r>
      <rPr>
        <sz val="11"/>
        <color theme="1"/>
        <rFont val="Tahoma"/>
        <charset val="134"/>
      </rPr>
      <t>AFCI</t>
    </r>
    <r>
      <rPr>
        <sz val="11"/>
        <color theme="1"/>
        <rFont val="Tahoma"/>
        <charset val="134"/>
      </rPr>
      <t>25</t>
    </r>
  </si>
  <si>
    <t>426</t>
  </si>
  <si>
    <r>
      <rPr>
        <sz val="11"/>
        <color theme="1"/>
        <rFont val="Tahoma"/>
        <charset val="134"/>
      </rPr>
      <t>AFCI</t>
    </r>
    <r>
      <rPr>
        <sz val="11"/>
        <color theme="1"/>
        <rFont val="Tahoma"/>
        <charset val="134"/>
      </rPr>
      <t>26</t>
    </r>
  </si>
  <si>
    <t>427</t>
  </si>
  <si>
    <r>
      <rPr>
        <sz val="11"/>
        <color theme="1"/>
        <rFont val="Tahoma"/>
        <charset val="134"/>
      </rPr>
      <t>AFCI</t>
    </r>
    <r>
      <rPr>
        <sz val="11"/>
        <color theme="1"/>
        <rFont val="Tahoma"/>
        <charset val="134"/>
      </rPr>
      <t>27</t>
    </r>
  </si>
  <si>
    <t>428</t>
  </si>
  <si>
    <r>
      <rPr>
        <sz val="11"/>
        <color theme="1"/>
        <rFont val="Tahoma"/>
        <charset val="134"/>
      </rPr>
      <t>AFCI</t>
    </r>
    <r>
      <rPr>
        <sz val="11"/>
        <color theme="1"/>
        <rFont val="Tahoma"/>
        <charset val="134"/>
      </rPr>
      <t>28</t>
    </r>
  </si>
  <si>
    <t>429</t>
  </si>
  <si>
    <r>
      <rPr>
        <sz val="11"/>
        <color theme="1"/>
        <rFont val="Tahoma"/>
        <charset val="134"/>
      </rPr>
      <t>AFCI</t>
    </r>
    <r>
      <rPr>
        <sz val="11"/>
        <color theme="1"/>
        <rFont val="Tahoma"/>
        <charset val="134"/>
      </rPr>
      <t>29</t>
    </r>
  </si>
  <si>
    <t>430</t>
  </si>
  <si>
    <r>
      <rPr>
        <sz val="11"/>
        <color theme="1"/>
        <rFont val="Tahoma"/>
        <charset val="134"/>
      </rPr>
      <t>AFCI</t>
    </r>
    <r>
      <rPr>
        <sz val="11"/>
        <color theme="1"/>
        <rFont val="Tahoma"/>
        <charset val="134"/>
      </rPr>
      <t>30</t>
    </r>
  </si>
  <si>
    <t>431</t>
  </si>
  <si>
    <r>
      <rPr>
        <sz val="11"/>
        <color theme="1"/>
        <rFont val="Tahoma"/>
        <charset val="134"/>
      </rPr>
      <t>AFCI</t>
    </r>
    <r>
      <rPr>
        <sz val="11"/>
        <color theme="1"/>
        <rFont val="Tahoma"/>
        <charset val="134"/>
      </rPr>
      <t>31</t>
    </r>
  </si>
  <si>
    <t>432</t>
  </si>
  <si>
    <t>Modified date</t>
  </si>
  <si>
    <t>Address</t>
  </si>
  <si>
    <t>Modification description</t>
  </si>
  <si>
    <t>0x0940</t>
  </si>
  <si>
    <t>Add Bit4</t>
  </si>
  <si>
    <t>0x0404</t>
  </si>
  <si>
    <t>Add 2 new status descriptions</t>
  </si>
  <si>
    <t>0x09C0</t>
  </si>
  <si>
    <t>Add Bit3</t>
  </si>
  <si>
    <t>0x09DB-0x09DE</t>
  </si>
  <si>
    <t>Add parameters</t>
  </si>
  <si>
    <t>0x2006</t>
  </si>
  <si>
    <t>Update value definition description</t>
  </si>
  <si>
    <t>0x102D</t>
  </si>
  <si>
    <t>Add CT automatic calibration register</t>
  </si>
  <si>
    <t>Add Bit5</t>
  </si>
  <si>
    <t>0x0914-0x0915</t>
  </si>
  <si>
    <t>Fault2-byte1-bit6</t>
  </si>
  <si>
    <t>Add fault</t>
  </si>
  <si>
    <t>Fault3-byte1-bit6</t>
  </si>
  <si>
    <t>0x1046</t>
  </si>
  <si>
    <t>Add battery protocol type</t>
  </si>
  <si>
    <t>0x1038</t>
  </si>
  <si>
    <t>Add address</t>
  </si>
  <si>
    <t>0xA07C-0xA07F</t>
  </si>
  <si>
    <t>Fault3-byte0-bit5</t>
  </si>
  <si>
    <t>Add InverterSoftStartFail</t>
  </si>
  <si>
    <t>Fault3-byte1-bit7</t>
  </si>
  <si>
    <t>Add SNTypeFault</t>
  </si>
  <si>
    <t>Fault9-byte1-bit5</t>
  </si>
  <si>
    <t>Add unrecoverSpdFail(DC)</t>
  </si>
  <si>
    <t>Fault9-byte1-bit6</t>
  </si>
  <si>
    <t>Add unrecoverSpdFail(AC)</t>
  </si>
  <si>
    <t>Fault2-byte0-bit1</t>
  </si>
  <si>
    <t>Modify fault name</t>
  </si>
  <si>
    <t>Fault2-byte1-bit0</t>
  </si>
  <si>
    <t>Add HwADFaultDCI(DC)</t>
  </si>
  <si>
    <t>Fault2-byte1-bit1</t>
  </si>
  <si>
    <t>Add HwADFaultIdcBranch</t>
  </si>
  <si>
    <t>Fault10-byte1-bit4</t>
  </si>
  <si>
    <t>Fault10-byte1-bit5</t>
  </si>
  <si>
    <t>Add BMS2CommunicatonFault</t>
  </si>
  <si>
    <t>Fault10-byte1-bit6</t>
  </si>
  <si>
    <t>Add BMS3CommunicatonFault</t>
  </si>
  <si>
    <t>Fault10-byte1-bit7</t>
  </si>
  <si>
    <t>Add BMS4CommunicatonFault</t>
  </si>
  <si>
    <t>Fault10-byte0-bit7</t>
  </si>
  <si>
    <t>Add SafetyVerFault</t>
  </si>
  <si>
    <t>0x803C-0x803F</t>
  </si>
  <si>
    <t>0x9000-0x9FFF</t>
  </si>
  <si>
    <t>Add BMS transparent transmission area</t>
  </si>
  <si>
    <t>0x06D1-0x06E2</t>
  </si>
  <si>
    <t>Fault5-byte1-bit1</t>
  </si>
  <si>
    <t>Add FlyingCapOVP</t>
  </si>
  <si>
    <t>0x08C8-0x08CC</t>
  </si>
  <si>
    <t>Add safety parameters</t>
  </si>
  <si>
    <t>0x0A04-0x0A05</t>
  </si>
  <si>
    <t>0x1050</t>
  </si>
  <si>
    <t>Voltage accuracy problem correction</t>
  </si>
  <si>
    <t>New package ID in the real-time data section of the BMS transparent transmission area</t>
  </si>
  <si>
    <t>0x4B0-0x4B9</t>
  </si>
  <si>
    <t>0x522-0x527</t>
  </si>
  <si>
    <t>Fault11-byte1-bit7</t>
  </si>
  <si>
    <t>0x1039-0x103D</t>
  </si>
  <si>
    <r>
      <rPr>
        <sz val="11"/>
        <color theme="1"/>
        <rFont val="Tahoma"/>
        <charset val="134"/>
      </rPr>
      <t>0x0901</t>
    </r>
    <r>
      <rPr>
        <sz val="11"/>
        <color theme="1"/>
        <rFont val="宋体"/>
        <charset val="134"/>
      </rPr>
      <t>，</t>
    </r>
    <r>
      <rPr>
        <sz val="11"/>
        <color theme="1"/>
        <rFont val="Tahoma"/>
        <charset val="134"/>
      </rPr>
      <t>0x0A03</t>
    </r>
  </si>
  <si>
    <t>Update the value range of the original address</t>
  </si>
  <si>
    <t>0x1052</t>
  </si>
  <si>
    <t>Add battery parameter address</t>
  </si>
  <si>
    <t>0x1054-0x1056</t>
  </si>
  <si>
    <t>0x1023</t>
  </si>
  <si>
    <t>0x1024</t>
  </si>
  <si>
    <t>Original address unit update</t>
  </si>
  <si>
    <t>0x1084-0x108C</t>
  </si>
  <si>
    <t>Add arc configuration address</t>
  </si>
  <si>
    <t>0xA070-0xA075</t>
  </si>
  <si>
    <t>0x0780-0x07BF</t>
  </si>
  <si>
    <t>Add arc real-time information area</t>
  </si>
  <si>
    <t>0x2007-0x200B</t>
  </si>
  <si>
    <t>Add new safety country name address</t>
  </si>
  <si>
    <t>0x0432-0x043A</t>
  </si>
  <si>
    <t>Add fault information address</t>
  </si>
  <si>
    <t>Fault6-byte1-bit0</t>
  </si>
  <si>
    <t>Add SwPvOCP</t>
  </si>
  <si>
    <t>Fault26/27</t>
  </si>
  <si>
    <t>Add AFCI fault</t>
  </si>
  <si>
    <t>0x9005</t>
  </si>
  <si>
    <t>Date register type problem fixed</t>
  </si>
  <si>
    <t>0x9051-0x906A, 0x9079, 0x9091-0x90AA, 0x90B4</t>
  </si>
  <si>
    <t>Accuracy change</t>
  </si>
  <si>
    <t>0x907A</t>
  </si>
  <si>
    <t>0x1105-0x110B</t>
  </si>
  <si>
    <t>0x04BA-0x04BC</t>
  </si>
  <si>
    <t>0x108D-0x108E</t>
  </si>
  <si>
    <t>Fault11-byte1-bit6</t>
  </si>
  <si>
    <t>Add FanFault7</t>
  </si>
  <si>
    <t>Fault12-byte0-bit6</t>
  </si>
  <si>
    <t>Add BMS VerFault</t>
  </si>
  <si>
    <t>Fault12-byte0-bit7</t>
  </si>
  <si>
    <t>Add BMS CAN VerFault</t>
  </si>
  <si>
    <t>Fault12-byte1-bit0</t>
  </si>
  <si>
    <t>Add BMS CAN VerLow</t>
  </si>
  <si>
    <t>Fault12-byte1-bit4</t>
  </si>
  <si>
    <t>Add AFCICommLose</t>
  </si>
  <si>
    <t>Fault12-byte1-bit5</t>
  </si>
  <si>
    <t>Add DCArcingAlarmFault</t>
  </si>
  <si>
    <t>Fault7-byte1-bit0</t>
  </si>
  <si>
    <t>Add MeterCommFault</t>
  </si>
  <si>
    <t>0x118D-0x1190,
0x1197-0x119A,
0x11A1-0x11A4</t>
  </si>
  <si>
    <t>Data type update</t>
  </si>
  <si>
    <t>0x1035</t>
  </si>
  <si>
    <t>Update the register value range and value definition</t>
  </si>
  <si>
    <t>Fault6-byte1-bit1</t>
  </si>
  <si>
    <t>Add IbalanceOCP</t>
  </si>
  <si>
    <t>Fix the accuracy problem</t>
  </si>
  <si>
    <t>Fault1-byte1-bit3</t>
  </si>
  <si>
    <t>Field name correction</t>
  </si>
  <si>
    <t>Fault1-byte1-bit4</t>
  </si>
  <si>
    <t>Added anti-backflow overload fault</t>
  </si>
  <si>
    <t>Fault8-byte1-bit3</t>
  </si>
  <si>
    <t>0x460-0x465</t>
  </si>
  <si>
    <t>Added safety version number register</t>
  </si>
  <si>
    <t>0x0951-0x0960</t>
  </si>
  <si>
    <t>Add new safety parameter address</t>
  </si>
  <si>
    <t>0x0980</t>
  </si>
  <si>
    <t>Added bit field definition to the original address</t>
  </si>
  <si>
    <t>0x0981</t>
  </si>
  <si>
    <t>Maximum and minimum value corrections, please check the remarks</t>
  </si>
  <si>
    <t>0x0982</t>
  </si>
  <si>
    <t>0x0993</t>
  </si>
  <si>
    <t>Update the original address field, unit, and remarks</t>
  </si>
  <si>
    <t>0x0995</t>
  </si>
  <si>
    <t>Original address lot, remarks update</t>
  </si>
  <si>
    <t>0x0996</t>
  </si>
  <si>
    <t>Update the original address field, type, remarks</t>
  </si>
  <si>
    <t>0x09A1</t>
  </si>
  <si>
    <t>New safety parameter address</t>
  </si>
  <si>
    <t>0x0A00</t>
  </si>
  <si>
    <t>0x05C4</t>
  </si>
  <si>
    <t>Add the total PV power address</t>
  </si>
  <si>
    <t>0x0667-0x0669</t>
  </si>
  <si>
    <t>Add battery summary information address</t>
  </si>
  <si>
    <t>0x0916</t>
  </si>
  <si>
    <t>Add the voltage drop time address</t>
  </si>
  <si>
    <t>Add Bit6</t>
  </si>
  <si>
    <t>0x0961-0x0962</t>
  </si>
  <si>
    <t>Add frequency address of over and under frequency power crossing point</t>
  </si>
  <si>
    <t>0x1060</t>
  </si>
  <si>
    <t>Add PCC power acquisition device configuration address</t>
  </si>
  <si>
    <t>Fault4-byte1-bit5</t>
  </si>
  <si>
    <t>Increase the fault bit</t>
  </si>
  <si>
    <t>0x1098-0x109C</t>
  </si>
  <si>
    <t>Add PID configuration address</t>
  </si>
  <si>
    <t>0x110F</t>
  </si>
  <si>
    <t>Add PID control address</t>
  </si>
  <si>
    <t>Fault12-byte1-bit6</t>
  </si>
  <si>
    <r>
      <rPr>
        <sz val="11"/>
        <color theme="1"/>
        <rFont val="Tahoma"/>
        <charset val="134"/>
      </rPr>
      <t>0</t>
    </r>
    <r>
      <rPr>
        <sz val="11"/>
        <color theme="1"/>
        <rFont val="Tahoma"/>
        <charset val="134"/>
      </rPr>
      <t>x044C</t>
    </r>
  </si>
  <si>
    <t>Change from reserved address to valid serial number address</t>
  </si>
  <si>
    <t>0x0470-0x0476</t>
  </si>
  <si>
    <t>Added 2 valid serial number addresses, and 5 reserved addresses</t>
  </si>
  <si>
    <t>0x10A0-0x10A1</t>
  </si>
  <si>
    <t>Add PLC enable and configuration address</t>
  </si>
  <si>
    <r>
      <rPr>
        <sz val="11"/>
        <color theme="1"/>
        <rFont val="Tahoma"/>
        <charset val="134"/>
      </rPr>
      <t>0x10A5</t>
    </r>
    <r>
      <rPr>
        <sz val="11"/>
        <color theme="1"/>
        <rFont val="Tahoma"/>
        <charset val="134"/>
      </rPr>
      <t>-0x10A</t>
    </r>
    <r>
      <rPr>
        <sz val="11"/>
        <color theme="1"/>
        <rFont val="Tahoma"/>
        <charset val="134"/>
      </rPr>
      <t>6</t>
    </r>
  </si>
  <si>
    <t>Added BLE enable and configuration address</t>
  </si>
  <si>
    <t>0x10B0-0x10A4</t>
  </si>
  <si>
    <t>Modify PID enable and configuration address</t>
  </si>
  <si>
    <t>0x8027</t>
  </si>
  <si>
    <t>0x8028-0x802E</t>
  </si>
  <si>
    <t>Added 2 factory effective serial number addresses, and 5 reserved addresses</t>
  </si>
  <si>
    <t>0x802F-0x8032</t>
  </si>
  <si>
    <t>Newly added peripheral configuration address and peripheral configuration BIT correspondence table</t>
  </si>
  <si>
    <t>0xA06A</t>
  </si>
  <si>
    <t>Add remote reset command</t>
  </si>
  <si>
    <t>Fault12-byte1-bit7</t>
  </si>
  <si>
    <t>Added PLC heartbeat failure</t>
  </si>
  <si>
    <t>0x1108</t>
  </si>
  <si>
    <t>Change the address data type to signed</t>
  </si>
  <si>
    <r>
      <rPr>
        <sz val="11"/>
        <color theme="1"/>
        <rFont val="Tahoma"/>
        <charset val="134"/>
      </rPr>
      <t>Fault13</t>
    </r>
    <r>
      <rPr>
        <sz val="11"/>
        <color theme="1"/>
        <rFont val="宋体"/>
        <charset val="134"/>
      </rPr>
      <t>、</t>
    </r>
    <r>
      <rPr>
        <sz val="11"/>
        <color theme="1"/>
        <rFont val="Tahoma"/>
        <charset val="134"/>
      </rPr>
      <t>Fault14</t>
    </r>
  </si>
  <si>
    <t>Alarm name change</t>
  </si>
  <si>
    <t>0x0040-0x0043</t>
  </si>
  <si>
    <t>Add agreement "general" area</t>
  </si>
  <si>
    <t>0x0044</t>
  </si>
  <si>
    <t>Add protocol version number</t>
  </si>
  <si>
    <t>Fault8-byte1-bit0
Fault8-byte1-bit1</t>
  </si>
  <si>
    <t>Add lightning protection failure (DC) and lightning protection failure (AC)</t>
  </si>
  <si>
    <t>Update protocol version definition</t>
  </si>
  <si>
    <t>0x0045-0x0047</t>
  </si>
  <si>
    <t>Add chipset code</t>
  </si>
  <si>
    <t>Add Bit7 definition</t>
  </si>
  <si>
    <t>Add mode definition: phase power mode</t>
  </si>
  <si>
    <t>0x1034</t>
  </si>
  <si>
    <t>Language definition</t>
  </si>
  <si>
    <t>0x1061</t>
  </si>
  <si>
    <t>Add resonance detection sensitivity register</t>
  </si>
  <si>
    <t>0x1110</t>
  </si>
  <si>
    <t>Add mode definition: off-grid mode</t>
  </si>
  <si>
    <t>0x1144-0x1146</t>
  </si>
  <si>
    <t>Added off-grid mode register</t>
  </si>
  <si>
    <t>0x203D-0x203F</t>
  </si>
  <si>
    <t>Add target chip definition: PCU (Power Control Unit) and BMS (Battery Management System)</t>
  </si>
  <si>
    <t>0x7000-0x707F</t>
  </si>
  <si>
    <t>Add ODM data customization area</t>
  </si>
  <si>
    <t>ID91</t>
  </si>
  <si>
    <t>Add resonance protection ID</t>
  </si>
  <si>
    <t>ID106</t>
  </si>
  <si>
    <t>Add serial number model error ID</t>
  </si>
</sst>
</file>

<file path=xl/styles.xml><?xml version="1.0" encoding="utf-8"?>
<styleSheet xmlns="http://schemas.openxmlformats.org/spreadsheetml/2006/main">
  <numFmts count="5">
    <numFmt numFmtId="41" formatCode="_ * #,##0_ ;_ * \-#,##0_ ;_ * &quot;-&quot;_ ;_ @_ "/>
    <numFmt numFmtId="44" formatCode="_ &quot;￥&quot;* #,##0.00_ ;_ &quot;￥&quot;* \-#,##0.00_ ;_ &quot;￥&quot;* &quot;-&quot;??_ ;_ @_ "/>
    <numFmt numFmtId="43" formatCode="_ * #,##0.00_ ;_ * \-#,##0.00_ ;_ * &quot;-&quot;??_ ;_ @_ "/>
    <numFmt numFmtId="42" formatCode="_ &quot;￥&quot;* #,##0_ ;_ &quot;￥&quot;* \-#,##0_ ;_ &quot;￥&quot;* &quot;-&quot;_ ;_ @_ "/>
    <numFmt numFmtId="176" formatCode="0_);[Red]\(0\)"/>
  </numFmts>
  <fonts count="38">
    <font>
      <sz val="11"/>
      <color theme="1"/>
      <name val="Tahoma"/>
      <charset val="134"/>
    </font>
    <font>
      <sz val="11"/>
      <color theme="1"/>
      <name val="Arial"/>
      <charset val="134"/>
    </font>
    <font>
      <sz val="11"/>
      <name val="Arial"/>
      <charset val="134"/>
    </font>
    <font>
      <sz val="11"/>
      <name val="Tahoma"/>
      <charset val="134"/>
    </font>
    <font>
      <sz val="11"/>
      <color theme="1"/>
      <name val="宋体"/>
      <charset val="134"/>
    </font>
    <font>
      <sz val="10.5"/>
      <color theme="1"/>
      <name val="宋体"/>
      <charset val="134"/>
    </font>
    <font>
      <sz val="10.5"/>
      <color theme="1"/>
      <name val="Arial"/>
      <charset val="134"/>
    </font>
    <font>
      <sz val="10.5"/>
      <name val="Arial"/>
      <charset val="134"/>
    </font>
    <font>
      <sz val="11"/>
      <color rgb="FFFF0000"/>
      <name val="Tahoma"/>
      <charset val="134"/>
    </font>
    <font>
      <sz val="9"/>
      <color theme="1"/>
      <name val="Arial"/>
      <charset val="134"/>
    </font>
    <font>
      <sz val="10"/>
      <color theme="1"/>
      <name val="Arial"/>
      <charset val="134"/>
    </font>
    <font>
      <sz val="11"/>
      <color rgb="FFFF0000"/>
      <name val="Arial"/>
      <charset val="134"/>
    </font>
    <font>
      <sz val="11"/>
      <color rgb="FFC00000"/>
      <name val="Arial"/>
      <charset val="134"/>
    </font>
    <font>
      <sz val="11"/>
      <name val="宋体"/>
      <charset val="134"/>
    </font>
    <font>
      <b/>
      <sz val="11"/>
      <color theme="1"/>
      <name val="Arial"/>
      <charset val="134"/>
    </font>
    <font>
      <b/>
      <sz val="13"/>
      <color theme="3"/>
      <name val="宋体"/>
      <charset val="134"/>
      <scheme val="minor"/>
    </font>
    <font>
      <sz val="11"/>
      <color theme="1"/>
      <name val="宋体"/>
      <charset val="134"/>
      <scheme val="minor"/>
    </font>
    <font>
      <b/>
      <sz val="11"/>
      <color rgb="FF3F3F3F"/>
      <name val="宋体"/>
      <charset val="0"/>
      <scheme val="minor"/>
    </font>
    <font>
      <sz val="11"/>
      <color theme="0"/>
      <name val="宋体"/>
      <charset val="0"/>
      <scheme val="minor"/>
    </font>
    <font>
      <sz val="11"/>
      <color theme="1"/>
      <name val="宋体"/>
      <charset val="0"/>
      <scheme val="minor"/>
    </font>
    <font>
      <b/>
      <sz val="11"/>
      <color theme="3"/>
      <name val="宋体"/>
      <charset val="134"/>
      <scheme val="minor"/>
    </font>
    <font>
      <sz val="11"/>
      <color rgb="FF3F3F76"/>
      <name val="宋体"/>
      <charset val="0"/>
      <scheme val="minor"/>
    </font>
    <font>
      <sz val="11"/>
      <color rgb="FF9C0006"/>
      <name val="宋体"/>
      <charset val="0"/>
      <scheme val="minor"/>
    </font>
    <font>
      <b/>
      <sz val="11"/>
      <color rgb="FFFA7D00"/>
      <name val="宋体"/>
      <charset val="0"/>
      <scheme val="minor"/>
    </font>
    <font>
      <u/>
      <sz val="11"/>
      <color rgb="FF0000FF"/>
      <name val="宋体"/>
      <charset val="0"/>
      <scheme val="minor"/>
    </font>
    <font>
      <u/>
      <sz val="11"/>
      <color rgb="FF800080"/>
      <name val="宋体"/>
      <charset val="0"/>
      <scheme val="minor"/>
    </font>
    <font>
      <i/>
      <sz val="11"/>
      <color rgb="FF7F7F7F"/>
      <name val="宋体"/>
      <charset val="0"/>
      <scheme val="minor"/>
    </font>
    <font>
      <sz val="11"/>
      <color rgb="FFFF0000"/>
      <name val="宋体"/>
      <charset val="0"/>
      <scheme val="minor"/>
    </font>
    <font>
      <b/>
      <sz val="18"/>
      <color theme="3"/>
      <name val="宋体"/>
      <charset val="134"/>
      <scheme val="minor"/>
    </font>
    <font>
      <b/>
      <sz val="15"/>
      <color theme="3"/>
      <name val="宋体"/>
      <charset val="134"/>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6500"/>
      <name val="宋体"/>
      <charset val="0"/>
      <scheme val="minor"/>
    </font>
    <font>
      <sz val="11"/>
      <color theme="1"/>
      <name val="微软雅黑"/>
      <charset val="134"/>
    </font>
    <font>
      <b/>
      <sz val="9"/>
      <name val="宋体"/>
      <charset val="134"/>
    </font>
    <font>
      <sz val="9"/>
      <name val="宋体"/>
      <charset val="134"/>
    </font>
  </fonts>
  <fills count="42">
    <fill>
      <patternFill patternType="none"/>
    </fill>
    <fill>
      <patternFill patternType="gray125"/>
    </fill>
    <fill>
      <patternFill patternType="solid">
        <fgColor theme="0" tint="-0.15"/>
        <bgColor indexed="64"/>
      </patternFill>
    </fill>
    <fill>
      <patternFill patternType="solid">
        <fgColor theme="0" tint="-0.149937437055574"/>
        <bgColor indexed="64"/>
      </patternFill>
    </fill>
    <fill>
      <patternFill patternType="solid">
        <fgColor theme="0"/>
        <bgColor indexed="64"/>
      </patternFill>
    </fill>
    <fill>
      <patternFill patternType="solid">
        <fgColor rgb="FF92D050"/>
        <bgColor indexed="64"/>
      </patternFill>
    </fill>
    <fill>
      <patternFill patternType="solid">
        <fgColor rgb="FFFFFF00"/>
        <bgColor indexed="64"/>
      </patternFill>
    </fill>
    <fill>
      <patternFill patternType="solid">
        <fgColor theme="6" tint="0.399914548173467"/>
        <bgColor indexed="64"/>
      </patternFill>
    </fill>
    <fill>
      <patternFill patternType="solid">
        <fgColor theme="0" tint="-0.249977111117893"/>
        <bgColor indexed="64"/>
      </patternFill>
    </fill>
    <fill>
      <patternFill patternType="solid">
        <fgColor theme="6" tint="0.4"/>
        <bgColor indexed="64"/>
      </patternFill>
    </fill>
    <fill>
      <patternFill patternType="solid">
        <fgColor theme="0" tint="-0.25"/>
        <bgColor indexed="64"/>
      </patternFill>
    </fill>
    <fill>
      <patternFill patternType="solid">
        <fgColor rgb="FFF2F2F2"/>
        <bgColor indexed="64"/>
      </patternFill>
    </fill>
    <fill>
      <patternFill patternType="solid">
        <fgColor theme="6"/>
        <bgColor indexed="64"/>
      </patternFill>
    </fill>
    <fill>
      <patternFill patternType="solid">
        <fgColor theme="5" tint="0.799981688894314"/>
        <bgColor indexed="64"/>
      </patternFill>
    </fill>
    <fill>
      <patternFill patternType="solid">
        <fgColor theme="6" tint="0.399975585192419"/>
        <bgColor indexed="64"/>
      </patternFill>
    </fill>
    <fill>
      <patternFill patternType="solid">
        <fgColor theme="8" tint="0.599993896298105"/>
        <bgColor indexed="64"/>
      </patternFill>
    </fill>
    <fill>
      <patternFill patternType="solid">
        <fgColor theme="9" tint="0.799981688894314"/>
        <bgColor indexed="64"/>
      </patternFill>
    </fill>
    <fill>
      <patternFill patternType="solid">
        <fgColor theme="6" tint="0.799981688894314"/>
        <bgColor indexed="64"/>
      </patternFill>
    </fill>
    <fill>
      <patternFill patternType="solid">
        <fgColor theme="9"/>
        <bgColor indexed="64"/>
      </patternFill>
    </fill>
    <fill>
      <patternFill patternType="solid">
        <fgColor theme="6" tint="0.599993896298105"/>
        <bgColor indexed="64"/>
      </patternFill>
    </fill>
    <fill>
      <patternFill patternType="solid">
        <fgColor rgb="FFFFFFCC"/>
        <bgColor indexed="64"/>
      </patternFill>
    </fill>
    <fill>
      <patternFill patternType="solid">
        <fgColor rgb="FFFFCC99"/>
        <bgColor indexed="64"/>
      </patternFill>
    </fill>
    <fill>
      <patternFill patternType="solid">
        <fgColor rgb="FFFFC7CE"/>
        <bgColor indexed="64"/>
      </patternFill>
    </fill>
    <fill>
      <patternFill patternType="solid">
        <fgColor theme="9" tint="0.399975585192419"/>
        <bgColor indexed="64"/>
      </patternFill>
    </fill>
    <fill>
      <patternFill patternType="solid">
        <fgColor theme="9" tint="0.599993896298105"/>
        <bgColor indexed="64"/>
      </patternFill>
    </fill>
    <fill>
      <patternFill patternType="solid">
        <fgColor theme="7"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8"/>
        <bgColor indexed="64"/>
      </patternFill>
    </fill>
    <fill>
      <patternFill patternType="solid">
        <fgColor theme="7"/>
        <bgColor indexed="64"/>
      </patternFill>
    </fill>
    <fill>
      <patternFill patternType="solid">
        <fgColor theme="5"/>
        <bgColor indexed="64"/>
      </patternFill>
    </fill>
    <fill>
      <patternFill patternType="solid">
        <fgColor theme="4" tint="0.399975585192419"/>
        <bgColor indexed="64"/>
      </patternFill>
    </fill>
    <fill>
      <patternFill patternType="solid">
        <fgColor theme="8" tint="0.399975585192419"/>
        <bgColor indexed="64"/>
      </patternFill>
    </fill>
    <fill>
      <patternFill patternType="solid">
        <fgColor theme="7" tint="0.599993896298105"/>
        <bgColor indexed="64"/>
      </patternFill>
    </fill>
    <fill>
      <patternFill patternType="solid">
        <fgColor theme="8" tint="0.799981688894314"/>
        <bgColor indexed="64"/>
      </patternFill>
    </fill>
    <fill>
      <patternFill patternType="solid">
        <fgColor theme="7" tint="0.399975585192419"/>
        <bgColor indexed="64"/>
      </patternFill>
    </fill>
    <fill>
      <patternFill patternType="solid">
        <fgColor rgb="FFA5A5A5"/>
        <bgColor indexed="64"/>
      </patternFill>
    </fill>
    <fill>
      <patternFill patternType="solid">
        <fgColor rgb="FFC6EF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s>
  <borders count="20">
    <border>
      <left/>
      <right/>
      <top/>
      <bottom/>
      <diagonal/>
    </border>
    <border>
      <left style="thin">
        <color theme="0" tint="-0.349986266670736"/>
      </left>
      <right style="thin">
        <color theme="0" tint="-0.349986266670736"/>
      </right>
      <top style="thin">
        <color theme="0" tint="-0.349986266670736"/>
      </top>
      <bottom style="thin">
        <color theme="0" tint="-0.349986266670736"/>
      </bottom>
      <diagonal/>
    </border>
    <border>
      <left style="thin">
        <color theme="0" tint="-0.349986266670736"/>
      </left>
      <right style="thin">
        <color theme="0" tint="-0.349986266670736"/>
      </right>
      <top style="thin">
        <color theme="0" tint="-0.349986266670736"/>
      </top>
      <bottom/>
      <diagonal/>
    </border>
    <border>
      <left style="thin">
        <color theme="0" tint="-0.349986266670736"/>
      </left>
      <right style="thin">
        <color theme="0" tint="-0.349986266670736"/>
      </right>
      <top/>
      <bottom/>
      <diagonal/>
    </border>
    <border>
      <left style="thin">
        <color theme="0" tint="-0.349986266670736"/>
      </left>
      <right style="thin">
        <color theme="0" tint="-0.349986266670736"/>
      </right>
      <top/>
      <bottom style="thin">
        <color theme="0" tint="-0.349986266670736"/>
      </bottom>
      <diagonal/>
    </border>
    <border>
      <left style="thin">
        <color theme="0" tint="-0.349986266670736"/>
      </left>
      <right/>
      <top style="thin">
        <color theme="0" tint="-0.349986266670736"/>
      </top>
      <bottom style="thin">
        <color theme="0" tint="-0.349986266670736"/>
      </bottom>
      <diagonal/>
    </border>
    <border>
      <left/>
      <right/>
      <top style="thin">
        <color theme="0" tint="-0.349986266670736"/>
      </top>
      <bottom style="thin">
        <color theme="0" tint="-0.349986266670736"/>
      </bottom>
      <diagonal/>
    </border>
    <border>
      <left/>
      <right style="thin">
        <color theme="0" tint="-0.349986266670736"/>
      </right>
      <top style="thin">
        <color theme="0" tint="-0.349986266670736"/>
      </top>
      <bottom style="thin">
        <color theme="0" tint="-0.349986266670736"/>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top/>
      <bottom style="medium">
        <color theme="4"/>
      </bottom>
      <diagonal/>
    </border>
    <border>
      <left style="thin">
        <color rgb="FF3F3F3F"/>
      </left>
      <right style="thin">
        <color rgb="FF3F3F3F"/>
      </right>
      <top style="thin">
        <color rgb="FF3F3F3F"/>
      </top>
      <bottom style="thin">
        <color rgb="FF3F3F3F"/>
      </bottom>
      <diagonal/>
    </border>
    <border>
      <left/>
      <right/>
      <top/>
      <bottom style="medium">
        <color theme="4" tint="0.499984740745262"/>
      </bottom>
      <diagonal/>
    </border>
    <border>
      <left style="thin">
        <color rgb="FFB2B2B2"/>
      </left>
      <right style="thin">
        <color rgb="FFB2B2B2"/>
      </right>
      <top style="thin">
        <color rgb="FFB2B2B2"/>
      </top>
      <bottom style="thin">
        <color rgb="FFB2B2B2"/>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6">
    <xf numFmtId="0" fontId="0" fillId="0" borderId="0"/>
    <xf numFmtId="42" fontId="16" fillId="0" borderId="0" applyFont="0" applyFill="0" applyBorder="0" applyAlignment="0" applyProtection="0">
      <alignment vertical="center"/>
    </xf>
    <xf numFmtId="0" fontId="0" fillId="0" borderId="0"/>
    <xf numFmtId="0" fontId="19" fillId="17" borderId="0" applyNumberFormat="0" applyBorder="0" applyAlignment="0" applyProtection="0">
      <alignment vertical="center"/>
    </xf>
    <xf numFmtId="0" fontId="21" fillId="21" borderId="16" applyNumberFormat="0" applyAlignment="0" applyProtection="0">
      <alignment vertical="center"/>
    </xf>
    <xf numFmtId="44" fontId="16" fillId="0" borderId="0" applyFont="0" applyFill="0" applyBorder="0" applyAlignment="0" applyProtection="0">
      <alignment vertical="center"/>
    </xf>
    <xf numFmtId="41" fontId="16" fillId="0" borderId="0" applyFont="0" applyFill="0" applyBorder="0" applyAlignment="0" applyProtection="0">
      <alignment vertical="center"/>
    </xf>
    <xf numFmtId="0" fontId="19" fillId="19" borderId="0" applyNumberFormat="0" applyBorder="0" applyAlignment="0" applyProtection="0">
      <alignment vertical="center"/>
    </xf>
    <xf numFmtId="0" fontId="22" fillId="22" borderId="0" applyNumberFormat="0" applyBorder="0" applyAlignment="0" applyProtection="0">
      <alignment vertical="center"/>
    </xf>
    <xf numFmtId="43" fontId="16" fillId="0" borderId="0" applyFont="0" applyFill="0" applyBorder="0" applyAlignment="0" applyProtection="0">
      <alignment vertical="center"/>
    </xf>
    <xf numFmtId="0" fontId="18" fillId="14" borderId="0" applyNumberFormat="0" applyBorder="0" applyAlignment="0" applyProtection="0">
      <alignment vertical="center"/>
    </xf>
    <xf numFmtId="0" fontId="24" fillId="0" borderId="0" applyNumberFormat="0" applyFill="0" applyBorder="0" applyAlignment="0" applyProtection="0">
      <alignment vertical="center"/>
    </xf>
    <xf numFmtId="9" fontId="16" fillId="0" borderId="0" applyFont="0" applyFill="0" applyBorder="0" applyAlignment="0" applyProtection="0">
      <alignment vertical="center"/>
    </xf>
    <xf numFmtId="0" fontId="25" fillId="0" borderId="0" applyNumberFormat="0" applyFill="0" applyBorder="0" applyAlignment="0" applyProtection="0">
      <alignment vertical="center"/>
    </xf>
    <xf numFmtId="0" fontId="0" fillId="0" borderId="0"/>
    <xf numFmtId="0" fontId="16" fillId="20" borderId="15" applyNumberFormat="0" applyFont="0" applyAlignment="0" applyProtection="0">
      <alignment vertical="center"/>
    </xf>
    <xf numFmtId="0" fontId="18" fillId="27" borderId="0" applyNumberFormat="0" applyBorder="0" applyAlignment="0" applyProtection="0">
      <alignment vertical="center"/>
    </xf>
    <xf numFmtId="0" fontId="20" fillId="0" borderId="0" applyNumberFormat="0" applyFill="0" applyBorder="0" applyAlignment="0" applyProtection="0">
      <alignment vertical="center"/>
    </xf>
    <xf numFmtId="0" fontId="27"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29" fillId="0" borderId="12" applyNumberFormat="0" applyFill="0" applyAlignment="0" applyProtection="0">
      <alignment vertical="center"/>
    </xf>
    <xf numFmtId="0" fontId="15" fillId="0" borderId="12" applyNumberFormat="0" applyFill="0" applyAlignment="0" applyProtection="0">
      <alignment vertical="center"/>
    </xf>
    <xf numFmtId="0" fontId="18" fillId="31" borderId="0" applyNumberFormat="0" applyBorder="0" applyAlignment="0" applyProtection="0">
      <alignment vertical="center"/>
    </xf>
    <xf numFmtId="0" fontId="20" fillId="0" borderId="14" applyNumberFormat="0" applyFill="0" applyAlignment="0" applyProtection="0">
      <alignment vertical="center"/>
    </xf>
    <xf numFmtId="0" fontId="18" fillId="35" borderId="0" applyNumberFormat="0" applyBorder="0" applyAlignment="0" applyProtection="0">
      <alignment vertical="center"/>
    </xf>
    <xf numFmtId="0" fontId="17" fillId="11" borderId="13" applyNumberFormat="0" applyAlignment="0" applyProtection="0">
      <alignment vertical="center"/>
    </xf>
    <xf numFmtId="0" fontId="23" fillId="11" borderId="16" applyNumberFormat="0" applyAlignment="0" applyProtection="0">
      <alignment vertical="center"/>
    </xf>
    <xf numFmtId="0" fontId="30" fillId="36" borderId="17" applyNumberFormat="0" applyAlignment="0" applyProtection="0">
      <alignment vertical="center"/>
    </xf>
    <xf numFmtId="0" fontId="19" fillId="16" borderId="0" applyNumberFormat="0" applyBorder="0" applyAlignment="0" applyProtection="0">
      <alignment vertical="center"/>
    </xf>
    <xf numFmtId="0" fontId="18" fillId="30" borderId="0" applyNumberFormat="0" applyBorder="0" applyAlignment="0" applyProtection="0">
      <alignment vertical="center"/>
    </xf>
    <xf numFmtId="0" fontId="31" fillId="0" borderId="18" applyNumberFormat="0" applyFill="0" applyAlignment="0" applyProtection="0">
      <alignment vertical="center"/>
    </xf>
    <xf numFmtId="0" fontId="32" fillId="0" borderId="19" applyNumberFormat="0" applyFill="0" applyAlignment="0" applyProtection="0">
      <alignment vertical="center"/>
    </xf>
    <xf numFmtId="0" fontId="33" fillId="37" borderId="0" applyNumberFormat="0" applyBorder="0" applyAlignment="0" applyProtection="0">
      <alignment vertical="center"/>
    </xf>
    <xf numFmtId="0" fontId="34" fillId="38" borderId="0" applyNumberFormat="0" applyBorder="0" applyAlignment="0" applyProtection="0">
      <alignment vertical="center"/>
    </xf>
    <xf numFmtId="0" fontId="19" fillId="34" borderId="0" applyNumberFormat="0" applyBorder="0" applyAlignment="0" applyProtection="0">
      <alignment vertical="center"/>
    </xf>
    <xf numFmtId="0" fontId="18" fillId="39" borderId="0" applyNumberFormat="0" applyBorder="0" applyAlignment="0" applyProtection="0">
      <alignment vertical="center"/>
    </xf>
    <xf numFmtId="0" fontId="19" fillId="40" borderId="0" applyNumberFormat="0" applyBorder="0" applyAlignment="0" applyProtection="0">
      <alignment vertical="center"/>
    </xf>
    <xf numFmtId="0" fontId="19" fillId="41" borderId="0" applyNumberFormat="0" applyBorder="0" applyAlignment="0" applyProtection="0">
      <alignment vertical="center"/>
    </xf>
    <xf numFmtId="0" fontId="0" fillId="0" borderId="0"/>
    <xf numFmtId="0" fontId="19" fillId="13" borderId="0" applyNumberFormat="0" applyBorder="0" applyAlignment="0" applyProtection="0">
      <alignment vertical="center"/>
    </xf>
    <xf numFmtId="0" fontId="19" fillId="26" borderId="0" applyNumberFormat="0" applyBorder="0" applyAlignment="0" applyProtection="0">
      <alignment vertical="center"/>
    </xf>
    <xf numFmtId="0" fontId="18" fillId="12" borderId="0" applyNumberFormat="0" applyBorder="0" applyAlignment="0" applyProtection="0">
      <alignment vertical="center"/>
    </xf>
    <xf numFmtId="0" fontId="18" fillId="29" borderId="0" applyNumberFormat="0" applyBorder="0" applyAlignment="0" applyProtection="0">
      <alignment vertical="center"/>
    </xf>
    <xf numFmtId="0" fontId="0" fillId="0" borderId="0"/>
    <xf numFmtId="0" fontId="19" fillId="25" borderId="0" applyNumberFormat="0" applyBorder="0" applyAlignment="0" applyProtection="0">
      <alignment vertical="center"/>
    </xf>
    <xf numFmtId="0" fontId="19" fillId="33" borderId="0" applyNumberFormat="0" applyBorder="0" applyAlignment="0" applyProtection="0">
      <alignment vertical="center"/>
    </xf>
    <xf numFmtId="0" fontId="18" fillId="28" borderId="0" applyNumberFormat="0" applyBorder="0" applyAlignment="0" applyProtection="0">
      <alignment vertical="center"/>
    </xf>
    <xf numFmtId="0" fontId="19" fillId="15" borderId="0" applyNumberFormat="0" applyBorder="0" applyAlignment="0" applyProtection="0">
      <alignment vertical="center"/>
    </xf>
    <xf numFmtId="0" fontId="18" fillId="32" borderId="0" applyNumberFormat="0" applyBorder="0" applyAlignment="0" applyProtection="0">
      <alignment vertical="center"/>
    </xf>
    <xf numFmtId="0" fontId="18" fillId="18" borderId="0" applyNumberFormat="0" applyBorder="0" applyAlignment="0" applyProtection="0">
      <alignment vertical="center"/>
    </xf>
    <xf numFmtId="0" fontId="19" fillId="24" borderId="0" applyNumberFormat="0" applyBorder="0" applyAlignment="0" applyProtection="0">
      <alignment vertical="center"/>
    </xf>
    <xf numFmtId="0" fontId="18" fillId="23" borderId="0" applyNumberFormat="0" applyBorder="0" applyAlignment="0" applyProtection="0">
      <alignment vertical="center"/>
    </xf>
    <xf numFmtId="0" fontId="16" fillId="0" borderId="0">
      <alignment vertical="center"/>
    </xf>
    <xf numFmtId="0" fontId="0" fillId="0" borderId="0"/>
    <xf numFmtId="0" fontId="0" fillId="0" borderId="0"/>
  </cellStyleXfs>
  <cellXfs count="180">
    <xf numFmtId="0" fontId="0" fillId="0" borderId="0" xfId="0"/>
    <xf numFmtId="0" fontId="0" fillId="0" borderId="0" xfId="0" applyBorder="1" applyAlignment="1">
      <alignment horizontal="left"/>
    </xf>
    <xf numFmtId="0" fontId="0" fillId="0" borderId="0" xfId="0" applyBorder="1"/>
    <xf numFmtId="0" fontId="1" fillId="2" borderId="0" xfId="0" applyFont="1" applyFill="1" applyBorder="1" applyAlignment="1">
      <alignment horizontal="left" vertical="center"/>
    </xf>
    <xf numFmtId="0" fontId="1" fillId="2" borderId="0" xfId="0" applyFont="1" applyFill="1" applyBorder="1" applyAlignment="1">
      <alignment vertical="center"/>
    </xf>
    <xf numFmtId="14" fontId="0" fillId="0" borderId="0" xfId="0" applyNumberFormat="1" applyBorder="1" applyAlignment="1">
      <alignment horizontal="left"/>
    </xf>
    <xf numFmtId="0" fontId="0" fillId="0" borderId="0" xfId="0" applyFont="1" applyBorder="1"/>
    <xf numFmtId="0" fontId="1" fillId="0" borderId="0" xfId="0" applyFont="1" applyBorder="1"/>
    <xf numFmtId="14" fontId="0" fillId="0" borderId="0" xfId="0" applyNumberFormat="1" applyFill="1" applyBorder="1" applyAlignment="1">
      <alignment horizontal="left"/>
    </xf>
    <xf numFmtId="0" fontId="0" fillId="0" borderId="0" xfId="0" applyFill="1" applyBorder="1"/>
    <xf numFmtId="0" fontId="1" fillId="0" borderId="0" xfId="0" applyFont="1" applyFill="1" applyBorder="1"/>
    <xf numFmtId="0" fontId="0" fillId="0" borderId="0" xfId="0" applyFill="1" applyBorder="1" applyAlignment="1">
      <alignment horizontal="left"/>
    </xf>
    <xf numFmtId="0" fontId="0" fillId="0" borderId="0" xfId="0" applyFill="1" applyBorder="1" applyAlignment="1">
      <alignment wrapText="1"/>
    </xf>
    <xf numFmtId="0" fontId="1" fillId="0" borderId="0" xfId="0" applyFont="1" applyFill="1" applyBorder="1" applyAlignment="1">
      <alignment vertical="center"/>
    </xf>
    <xf numFmtId="0" fontId="0" fillId="0" borderId="0" xfId="0" applyBorder="1" applyAlignment="1">
      <alignment wrapText="1"/>
    </xf>
    <xf numFmtId="0" fontId="0" fillId="3" borderId="1" xfId="0" applyFill="1" applyBorder="1" applyAlignment="1">
      <alignment horizontal="center" vertical="center"/>
    </xf>
    <xf numFmtId="0" fontId="0" fillId="0" borderId="1" xfId="0" applyBorder="1"/>
    <xf numFmtId="49" fontId="0" fillId="0" borderId="1" xfId="0" applyNumberFormat="1" applyBorder="1" applyAlignment="1">
      <alignment horizontal="center" vertical="center"/>
    </xf>
    <xf numFmtId="0" fontId="1" fillId="0" borderId="1" xfId="0" applyFont="1" applyBorder="1"/>
    <xf numFmtId="0" fontId="0" fillId="2" borderId="1" xfId="0" applyFill="1" applyBorder="1" applyAlignment="1">
      <alignment horizontal="center" vertical="center"/>
    </xf>
    <xf numFmtId="0" fontId="1" fillId="2" borderId="1" xfId="0" applyFont="1" applyFill="1"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horizontal="center" vertical="center"/>
    </xf>
    <xf numFmtId="0" fontId="2" fillId="0" borderId="1" xfId="39" applyFont="1" applyBorder="1"/>
    <xf numFmtId="0" fontId="1" fillId="0" borderId="1" xfId="0" applyFont="1" applyBorder="1" applyAlignment="1">
      <alignment horizontal="center" vertical="center"/>
    </xf>
    <xf numFmtId="0" fontId="1" fillId="0" borderId="1" xfId="39" applyFont="1" applyBorder="1"/>
    <xf numFmtId="0" fontId="3" fillId="0" borderId="1" xfId="0" applyFont="1" applyBorder="1"/>
    <xf numFmtId="49" fontId="3" fillId="0" borderId="1" xfId="0" applyNumberFormat="1" applyFont="1" applyBorder="1" applyAlignment="1">
      <alignment horizontal="center" vertical="center"/>
    </xf>
    <xf numFmtId="0" fontId="2" fillId="0" borderId="1" xfId="0" applyFont="1" applyBorder="1"/>
    <xf numFmtId="0" fontId="4" fillId="0" borderId="1" xfId="0" applyFont="1" applyBorder="1"/>
    <xf numFmtId="0" fontId="1" fillId="0" borderId="2" xfId="0" applyFont="1" applyBorder="1" applyAlignment="1">
      <alignment horizontal="center" vertical="center"/>
    </xf>
    <xf numFmtId="0" fontId="0" fillId="0" borderId="1" xfId="0" applyFont="1" applyBorder="1"/>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5" fillId="0" borderId="1" xfId="0" applyFont="1" applyBorder="1"/>
    <xf numFmtId="0" fontId="1" fillId="0" borderId="1" xfId="0" applyFont="1" applyBorder="1" applyAlignment="1">
      <alignment horizontal="center" vertical="center" wrapText="1"/>
    </xf>
    <xf numFmtId="0" fontId="6" fillId="0" borderId="1" xfId="39" applyFont="1" applyBorder="1"/>
    <xf numFmtId="0" fontId="1" fillId="0" borderId="2" xfId="0" applyFont="1" applyBorder="1" applyAlignment="1">
      <alignment horizontal="center" vertical="center" wrapText="1"/>
    </xf>
    <xf numFmtId="0" fontId="7" fillId="0" borderId="1" xfId="39" applyFont="1" applyBorder="1"/>
    <xf numFmtId="0" fontId="1" fillId="0" borderId="3" xfId="0" applyFont="1" applyBorder="1" applyAlignment="1">
      <alignment horizontal="center" vertical="center" wrapText="1"/>
    </xf>
    <xf numFmtId="0" fontId="1" fillId="0" borderId="4" xfId="0" applyFont="1" applyBorder="1" applyAlignment="1">
      <alignment horizontal="center" vertical="center" wrapText="1"/>
    </xf>
    <xf numFmtId="0" fontId="0" fillId="0" borderId="1" xfId="0" applyFont="1" applyFill="1" applyBorder="1"/>
    <xf numFmtId="49" fontId="0" fillId="0" borderId="1" xfId="0" applyNumberFormat="1" applyFill="1" applyBorder="1" applyAlignment="1">
      <alignment horizontal="center" vertical="center"/>
    </xf>
    <xf numFmtId="0" fontId="3" fillId="4" borderId="1" xfId="0" applyFont="1" applyFill="1" applyBorder="1"/>
    <xf numFmtId="0" fontId="3" fillId="0" borderId="0" xfId="0" applyFont="1"/>
    <xf numFmtId="0" fontId="0" fillId="0" borderId="1" xfId="0" applyFont="1" applyBorder="1" applyAlignment="1">
      <alignment horizontal="center" vertical="center" wrapText="1"/>
    </xf>
    <xf numFmtId="0" fontId="0" fillId="0" borderId="0" xfId="0" applyFill="1" applyAlignment="1">
      <alignment horizontal="center" vertical="center"/>
    </xf>
    <xf numFmtId="0" fontId="0" fillId="0" borderId="1" xfId="0" applyFill="1" applyBorder="1" applyAlignment="1">
      <alignment horizontal="center" vertical="center"/>
    </xf>
    <xf numFmtId="0" fontId="0" fillId="0" borderId="0" xfId="0" applyAlignment="1">
      <alignment horizontal="center" vertical="center"/>
    </xf>
    <xf numFmtId="0" fontId="8" fillId="0" borderId="1" xfId="0" applyFont="1" applyBorder="1" applyAlignment="1">
      <alignment horizontal="center" vertical="center"/>
    </xf>
    <xf numFmtId="176" fontId="0" fillId="0" borderId="1" xfId="0" applyNumberFormat="1" applyBorder="1" applyAlignment="1">
      <alignment horizontal="center" vertical="center"/>
    </xf>
    <xf numFmtId="0" fontId="0" fillId="0" borderId="1" xfId="0" applyBorder="1" applyAlignment="1">
      <alignment horizontal="left" vertical="center" wrapText="1"/>
    </xf>
    <xf numFmtId="0" fontId="0" fillId="0" borderId="1" xfId="0" applyFont="1" applyBorder="1" applyAlignment="1">
      <alignment horizontal="left" vertical="center" wrapText="1"/>
    </xf>
    <xf numFmtId="176" fontId="9" fillId="3" borderId="1" xfId="0" applyNumberFormat="1" applyFont="1" applyFill="1" applyBorder="1" applyAlignment="1">
      <alignment horizontal="center" vertical="center"/>
    </xf>
    <xf numFmtId="0" fontId="1" fillId="3" borderId="1" xfId="0" applyFont="1" applyFill="1" applyBorder="1" applyAlignment="1">
      <alignment horizontal="center" vertical="center" wrapText="1"/>
    </xf>
    <xf numFmtId="0" fontId="1" fillId="2" borderId="0" xfId="0" applyFont="1" applyFill="1"/>
    <xf numFmtId="0" fontId="1" fillId="3" borderId="1" xfId="0" applyFont="1" applyFill="1" applyBorder="1" applyAlignment="1">
      <alignment horizontal="center" vertical="center"/>
    </xf>
    <xf numFmtId="0" fontId="1" fillId="5" borderId="5" xfId="0" applyFont="1" applyFill="1" applyBorder="1" applyAlignment="1">
      <alignment horizontal="center" vertical="center"/>
    </xf>
    <xf numFmtId="0" fontId="1" fillId="5" borderId="6" xfId="0" applyFont="1" applyFill="1" applyBorder="1" applyAlignment="1">
      <alignment horizontal="center" vertical="center"/>
    </xf>
    <xf numFmtId="0" fontId="1" fillId="0" borderId="1" xfId="0" applyFont="1" applyFill="1" applyBorder="1" applyAlignment="1">
      <alignment horizontal="center" vertical="center"/>
    </xf>
    <xf numFmtId="176" fontId="1" fillId="0" borderId="1" xfId="0" applyNumberFormat="1" applyFont="1" applyFill="1" applyBorder="1" applyAlignment="1">
      <alignment horizontal="center" vertical="center"/>
    </xf>
    <xf numFmtId="0" fontId="1" fillId="0" borderId="1" xfId="0" applyFont="1" applyFill="1" applyBorder="1" applyAlignment="1">
      <alignment horizontal="center" vertical="center" wrapText="1"/>
    </xf>
    <xf numFmtId="0" fontId="1" fillId="2" borderId="0" xfId="0" applyFont="1" applyFill="1" applyAlignment="1">
      <alignment horizontal="center" vertical="center"/>
    </xf>
    <xf numFmtId="0" fontId="1" fillId="0" borderId="1" xfId="0" applyFont="1" applyFill="1" applyBorder="1" applyAlignment="1">
      <alignment horizontal="left" vertical="center" wrapText="1"/>
    </xf>
    <xf numFmtId="0" fontId="1" fillId="0" borderId="0" xfId="0" applyFont="1" applyAlignment="1">
      <alignment horizontal="center" vertical="center"/>
    </xf>
    <xf numFmtId="0" fontId="1" fillId="6" borderId="1" xfId="0" applyFont="1" applyFill="1" applyBorder="1" applyAlignment="1">
      <alignment horizontal="center" vertical="center"/>
    </xf>
    <xf numFmtId="0" fontId="1" fillId="5" borderId="1" xfId="0" applyFont="1" applyFill="1" applyBorder="1" applyAlignment="1">
      <alignment horizontal="center" vertical="center"/>
    </xf>
    <xf numFmtId="0" fontId="1" fillId="0" borderId="1" xfId="0" applyFont="1" applyBorder="1" applyAlignment="1">
      <alignment horizontal="left" vertical="center" wrapText="1"/>
    </xf>
    <xf numFmtId="0" fontId="10" fillId="0" borderId="1" xfId="39" applyFont="1" applyBorder="1" applyAlignment="1">
      <alignment horizontal="center" vertical="center"/>
    </xf>
    <xf numFmtId="0" fontId="2" fillId="0" borderId="1" xfId="0" applyFont="1" applyBorder="1" applyAlignment="1">
      <alignment horizontal="left" vertical="center" wrapText="1"/>
    </xf>
    <xf numFmtId="0" fontId="4" fillId="0" borderId="1" xfId="0" applyFont="1" applyBorder="1" applyAlignment="1">
      <alignment horizontal="center" vertical="center"/>
    </xf>
    <xf numFmtId="0" fontId="4" fillId="0" borderId="1" xfId="0" applyFont="1" applyFill="1" applyBorder="1" applyAlignment="1">
      <alignment horizontal="center" vertical="center"/>
    </xf>
    <xf numFmtId="0" fontId="1" fillId="0" borderId="1" xfId="39" applyFont="1" applyBorder="1" applyAlignment="1">
      <alignment horizontal="left" vertical="center" wrapText="1"/>
    </xf>
    <xf numFmtId="0" fontId="1" fillId="0" borderId="2" xfId="39" applyFont="1" applyBorder="1" applyAlignment="1">
      <alignment horizontal="left" vertical="center" wrapText="1"/>
    </xf>
    <xf numFmtId="0" fontId="1" fillId="0" borderId="4" xfId="39" applyFont="1" applyBorder="1" applyAlignment="1">
      <alignment horizontal="left" vertical="center" wrapText="1"/>
    </xf>
    <xf numFmtId="0" fontId="11" fillId="0" borderId="1" xfId="0" applyFont="1" applyBorder="1" applyAlignment="1">
      <alignment horizontal="left" vertical="center" wrapText="1"/>
    </xf>
    <xf numFmtId="0" fontId="2" fillId="0" borderId="1" xfId="0" applyFont="1" applyBorder="1" applyAlignment="1">
      <alignment horizontal="center" vertical="center"/>
    </xf>
    <xf numFmtId="0" fontId="12" fillId="0" borderId="1" xfId="0" applyFont="1" applyBorder="1" applyAlignment="1">
      <alignment horizontal="center" vertical="center"/>
    </xf>
    <xf numFmtId="0" fontId="2" fillId="0" borderId="1" xfId="0" applyFont="1" applyFill="1" applyBorder="1" applyAlignment="1">
      <alignment horizontal="left" vertical="center" wrapText="1"/>
    </xf>
    <xf numFmtId="49" fontId="1" fillId="0" borderId="1" xfId="2" applyNumberFormat="1" applyFont="1" applyBorder="1" applyAlignment="1">
      <alignment horizontal="left" vertical="center" wrapText="1"/>
    </xf>
    <xf numFmtId="0" fontId="1" fillId="0" borderId="0" xfId="0" applyFont="1"/>
    <xf numFmtId="176" fontId="1" fillId="0" borderId="1" xfId="0" applyNumberFormat="1" applyFont="1" applyBorder="1" applyAlignment="1">
      <alignment horizontal="center" vertical="center"/>
    </xf>
    <xf numFmtId="0" fontId="11" fillId="0" borderId="1" xfId="0" applyFont="1" applyBorder="1" applyAlignment="1">
      <alignment horizontal="center" vertical="center"/>
    </xf>
    <xf numFmtId="0" fontId="2" fillId="0" borderId="1" xfId="39" applyFont="1" applyBorder="1" applyAlignment="1">
      <alignment horizontal="left" vertical="center" wrapText="1"/>
    </xf>
    <xf numFmtId="0" fontId="11" fillId="0" borderId="0" xfId="0" applyFont="1" applyAlignment="1">
      <alignment horizontal="left" vertical="center" wrapText="1"/>
    </xf>
    <xf numFmtId="0" fontId="1" fillId="0" borderId="2" xfId="0" applyFont="1" applyBorder="1" applyAlignment="1">
      <alignment horizontal="left" vertical="center" wrapText="1"/>
    </xf>
    <xf numFmtId="0" fontId="1" fillId="0" borderId="4" xfId="0" applyFont="1" applyBorder="1" applyAlignment="1">
      <alignment horizontal="left" vertical="center" wrapText="1"/>
    </xf>
    <xf numFmtId="0" fontId="2" fillId="0" borderId="2" xfId="0" applyFont="1" applyBorder="1" applyAlignment="1">
      <alignment horizontal="center" vertical="center"/>
    </xf>
    <xf numFmtId="0" fontId="2" fillId="0" borderId="4" xfId="0" applyFont="1" applyBorder="1" applyAlignment="1">
      <alignment horizontal="center" vertical="center"/>
    </xf>
    <xf numFmtId="0" fontId="1" fillId="0" borderId="2" xfId="0" applyFont="1" applyFill="1" applyBorder="1" applyAlignment="1">
      <alignment horizontal="center" vertical="center"/>
    </xf>
    <xf numFmtId="0" fontId="1" fillId="0" borderId="3" xfId="0" applyFont="1" applyFill="1" applyBorder="1" applyAlignment="1">
      <alignment horizontal="center" vertical="center"/>
    </xf>
    <xf numFmtId="0" fontId="1" fillId="0" borderId="2" xfId="39" applyFont="1" applyBorder="1" applyAlignment="1">
      <alignment horizontal="center" vertical="top" wrapText="1"/>
    </xf>
    <xf numFmtId="0" fontId="1" fillId="0" borderId="4" xfId="39" applyFont="1" applyBorder="1" applyAlignment="1">
      <alignment horizontal="center" vertical="top" wrapText="1"/>
    </xf>
    <xf numFmtId="0" fontId="1" fillId="0" borderId="1" xfId="55" applyFont="1" applyFill="1" applyBorder="1" applyAlignment="1">
      <alignment horizontal="left" vertical="center" wrapText="1"/>
    </xf>
    <xf numFmtId="0" fontId="1" fillId="0" borderId="1" xfId="55" applyFont="1" applyFill="1" applyBorder="1" applyAlignment="1">
      <alignment horizontal="center" vertical="center"/>
    </xf>
    <xf numFmtId="0" fontId="1" fillId="0" borderId="1" xfId="14" applyFont="1" applyBorder="1" applyAlignment="1">
      <alignment horizontal="left" vertical="center"/>
    </xf>
    <xf numFmtId="0" fontId="1" fillId="0" borderId="1" xfId="14" applyFont="1" applyBorder="1" applyAlignment="1">
      <alignment horizontal="center" vertical="center"/>
    </xf>
    <xf numFmtId="0" fontId="1" fillId="0" borderId="2" xfId="55" applyFont="1" applyFill="1" applyBorder="1" applyAlignment="1">
      <alignment horizontal="center" vertical="center"/>
    </xf>
    <xf numFmtId="0" fontId="1" fillId="0" borderId="3" xfId="55" applyFont="1" applyFill="1" applyBorder="1" applyAlignment="1">
      <alignment horizontal="center" vertical="center"/>
    </xf>
    <xf numFmtId="0" fontId="1" fillId="0" borderId="1" xfId="14" applyFont="1" applyFill="1" applyBorder="1" applyAlignment="1">
      <alignment horizontal="left" vertical="center" wrapText="1"/>
    </xf>
    <xf numFmtId="176" fontId="1" fillId="0" borderId="1" xfId="55" applyNumberFormat="1" applyFont="1" applyFill="1" applyBorder="1" applyAlignment="1">
      <alignment horizontal="center" vertical="center"/>
    </xf>
    <xf numFmtId="0" fontId="1" fillId="0" borderId="1" xfId="2" applyFont="1" applyBorder="1" applyAlignment="1">
      <alignment horizontal="left" vertical="center" wrapText="1"/>
    </xf>
    <xf numFmtId="0" fontId="1" fillId="0" borderId="1" xfId="2" applyFont="1" applyFill="1" applyBorder="1" applyAlignment="1">
      <alignment horizontal="left" vertical="center" wrapText="1"/>
    </xf>
    <xf numFmtId="0" fontId="2" fillId="0" borderId="1" xfId="2" applyFont="1" applyFill="1" applyBorder="1" applyAlignment="1">
      <alignment horizontal="left" vertical="center" wrapText="1"/>
    </xf>
    <xf numFmtId="176" fontId="2" fillId="0" borderId="1" xfId="0" applyNumberFormat="1" applyFont="1" applyFill="1" applyBorder="1" applyAlignment="1">
      <alignment horizontal="center" vertical="center"/>
    </xf>
    <xf numFmtId="0" fontId="2" fillId="0" borderId="1" xfId="0" applyFont="1" applyFill="1" applyBorder="1" applyAlignment="1">
      <alignment horizontal="center" vertical="center"/>
    </xf>
    <xf numFmtId="0" fontId="2" fillId="0" borderId="1" xfId="0" applyFont="1" applyBorder="1" applyAlignment="1">
      <alignment vertical="center" wrapText="1"/>
    </xf>
    <xf numFmtId="176" fontId="2" fillId="0" borderId="1" xfId="0" applyNumberFormat="1" applyFont="1" applyBorder="1" applyAlignment="1">
      <alignment horizontal="center" vertical="center"/>
    </xf>
    <xf numFmtId="0" fontId="2" fillId="0" borderId="1" xfId="0" applyFont="1" applyBorder="1" applyAlignment="1">
      <alignment horizontal="center" vertical="center" wrapText="1"/>
    </xf>
    <xf numFmtId="0" fontId="2" fillId="0" borderId="1" xfId="2" applyFont="1" applyBorder="1" applyAlignment="1">
      <alignment horizontal="left" vertical="center" wrapText="1"/>
    </xf>
    <xf numFmtId="0" fontId="2" fillId="0" borderId="1" xfId="2" applyFont="1" applyBorder="1" applyAlignment="1">
      <alignment vertical="center" wrapText="1"/>
    </xf>
    <xf numFmtId="0" fontId="1" fillId="0" borderId="0" xfId="2" applyFont="1" applyAlignment="1">
      <alignment wrapText="1"/>
    </xf>
    <xf numFmtId="0" fontId="0" fillId="0" borderId="2" xfId="0" applyBorder="1" applyAlignment="1">
      <alignment horizontal="center" vertical="center"/>
    </xf>
    <xf numFmtId="0" fontId="1" fillId="0" borderId="5" xfId="0" applyFont="1" applyBorder="1" applyAlignment="1">
      <alignment horizontal="center" vertical="center"/>
    </xf>
    <xf numFmtId="0" fontId="0" fillId="0" borderId="0" xfId="0" applyBorder="1" applyAlignment="1">
      <alignment horizontal="center" vertical="center"/>
    </xf>
    <xf numFmtId="49" fontId="1" fillId="0" borderId="2" xfId="2" applyNumberFormat="1" applyFont="1" applyBorder="1" applyAlignment="1">
      <alignment horizontal="center" vertical="center" wrapText="1"/>
    </xf>
    <xf numFmtId="49" fontId="1" fillId="0" borderId="3" xfId="2" applyNumberFormat="1" applyFont="1" applyBorder="1" applyAlignment="1">
      <alignment horizontal="center" vertical="center" wrapText="1"/>
    </xf>
    <xf numFmtId="49" fontId="1" fillId="0" borderId="4" xfId="2" applyNumberFormat="1" applyFont="1" applyBorder="1" applyAlignment="1">
      <alignment horizontal="center" vertical="center" wrapText="1"/>
    </xf>
    <xf numFmtId="0" fontId="11" fillId="0" borderId="1" xfId="2" applyFont="1" applyBorder="1" applyAlignment="1">
      <alignment horizontal="left" vertical="center" wrapText="1"/>
    </xf>
    <xf numFmtId="0" fontId="1" fillId="0" borderId="1" xfId="54" applyFont="1" applyFill="1" applyBorder="1" applyAlignment="1">
      <alignment horizontal="left" vertical="center" wrapText="1"/>
    </xf>
    <xf numFmtId="0" fontId="1" fillId="0" borderId="1" xfId="54" applyFont="1" applyBorder="1" applyAlignment="1">
      <alignment horizontal="center" vertical="center"/>
    </xf>
    <xf numFmtId="0" fontId="1" fillId="0" borderId="1" xfId="54" applyFont="1" applyFill="1" applyBorder="1" applyAlignment="1">
      <alignment horizontal="center" vertical="center"/>
    </xf>
    <xf numFmtId="0" fontId="1" fillId="0" borderId="1" xfId="54" applyFont="1" applyBorder="1" applyAlignment="1">
      <alignment horizontal="left" vertical="center" wrapText="1"/>
    </xf>
    <xf numFmtId="0" fontId="1" fillId="0" borderId="2" xfId="54" applyFont="1" applyBorder="1" applyAlignment="1">
      <alignment horizontal="left" vertical="center" wrapText="1"/>
    </xf>
    <xf numFmtId="0" fontId="1" fillId="0" borderId="2" xfId="54" applyFont="1" applyBorder="1" applyAlignment="1">
      <alignment horizontal="center" vertical="center"/>
    </xf>
    <xf numFmtId="0" fontId="1" fillId="0" borderId="4" xfId="54" applyFont="1" applyBorder="1" applyAlignment="1">
      <alignment horizontal="left" vertical="center" wrapText="1"/>
    </xf>
    <xf numFmtId="0" fontId="1" fillId="0" borderId="4" xfId="54" applyFont="1" applyBorder="1" applyAlignment="1">
      <alignment horizontal="center" vertical="center"/>
    </xf>
    <xf numFmtId="0" fontId="1" fillId="0" borderId="2" xfId="54" applyFont="1" applyFill="1" applyBorder="1" applyAlignment="1">
      <alignment horizontal="left" vertical="center" wrapText="1"/>
    </xf>
    <xf numFmtId="0" fontId="1" fillId="0" borderId="4" xfId="54" applyFont="1" applyFill="1" applyBorder="1" applyAlignment="1">
      <alignment horizontal="left" vertical="center" wrapText="1"/>
    </xf>
    <xf numFmtId="0" fontId="2" fillId="4" borderId="1" xfId="0" applyFont="1" applyFill="1" applyBorder="1" applyAlignment="1">
      <alignment horizontal="left" vertical="center" wrapText="1"/>
    </xf>
    <xf numFmtId="0" fontId="2" fillId="4" borderId="1" xfId="0" applyFont="1" applyFill="1" applyBorder="1" applyAlignment="1">
      <alignment horizontal="center" vertical="center"/>
    </xf>
    <xf numFmtId="0" fontId="13" fillId="0" borderId="1" xfId="0" applyFont="1" applyBorder="1" applyAlignment="1">
      <alignment horizontal="center" vertical="center"/>
    </xf>
    <xf numFmtId="0" fontId="13" fillId="4" borderId="1" xfId="0" applyFont="1" applyFill="1" applyBorder="1" applyAlignment="1">
      <alignment horizontal="center" vertical="center"/>
    </xf>
    <xf numFmtId="0" fontId="1" fillId="5" borderId="1" xfId="0" applyFont="1" applyFill="1" applyBorder="1" applyAlignment="1" applyProtection="1">
      <alignment horizontal="center" vertical="center"/>
      <protection locked="0"/>
    </xf>
    <xf numFmtId="176" fontId="1" fillId="0" borderId="1" xfId="0" applyNumberFormat="1" applyFont="1" applyFill="1" applyBorder="1" applyAlignment="1">
      <alignment horizontal="center" vertical="center" wrapText="1"/>
    </xf>
    <xf numFmtId="176" fontId="2" fillId="0" borderId="1" xfId="0" applyNumberFormat="1" applyFont="1" applyFill="1" applyBorder="1" applyAlignment="1">
      <alignment horizontal="center" vertical="center" wrapText="1"/>
    </xf>
    <xf numFmtId="0" fontId="1" fillId="0" borderId="2" xfId="0" applyFont="1" applyFill="1" applyBorder="1" applyAlignment="1">
      <alignment vertical="center" wrapText="1"/>
    </xf>
    <xf numFmtId="0" fontId="1" fillId="0" borderId="4" xfId="0" applyFont="1" applyFill="1" applyBorder="1" applyAlignment="1">
      <alignment horizontal="center" vertical="center"/>
    </xf>
    <xf numFmtId="0" fontId="2" fillId="0" borderId="1" xfId="44" applyFont="1" applyBorder="1" applyAlignment="1">
      <alignment horizontal="left" vertical="center" wrapText="1"/>
    </xf>
    <xf numFmtId="0" fontId="1" fillId="0" borderId="1" xfId="44" applyFont="1" applyBorder="1" applyAlignment="1">
      <alignment horizontal="left" vertical="center" wrapText="1"/>
    </xf>
    <xf numFmtId="0" fontId="2" fillId="0" borderId="1" xfId="44" applyFont="1" applyFill="1" applyBorder="1" applyAlignment="1">
      <alignment horizontal="left" vertical="center" wrapText="1"/>
    </xf>
    <xf numFmtId="0" fontId="1" fillId="0" borderId="1" xfId="44" applyFont="1" applyFill="1" applyBorder="1" applyAlignment="1">
      <alignment horizontal="left" vertical="center" wrapText="1"/>
    </xf>
    <xf numFmtId="0" fontId="1" fillId="0" borderId="2" xfId="0" applyFont="1" applyFill="1" applyBorder="1" applyAlignment="1">
      <alignment horizontal="left" vertical="center" wrapText="1"/>
    </xf>
    <xf numFmtId="0" fontId="1" fillId="0" borderId="4" xfId="0" applyFont="1" applyFill="1" applyBorder="1" applyAlignment="1">
      <alignment horizontal="left" vertical="center" wrapText="1"/>
    </xf>
    <xf numFmtId="0" fontId="1" fillId="5" borderId="5" xfId="0" applyFont="1" applyFill="1" applyBorder="1" applyAlignment="1" applyProtection="1">
      <alignment horizontal="center" vertical="center"/>
      <protection locked="0"/>
    </xf>
    <xf numFmtId="0" fontId="1" fillId="5" borderId="6" xfId="0" applyFont="1" applyFill="1" applyBorder="1" applyAlignment="1" applyProtection="1">
      <alignment horizontal="center" vertical="center"/>
      <protection locked="0"/>
    </xf>
    <xf numFmtId="0" fontId="2" fillId="0" borderId="2" xfId="0" applyFont="1" applyBorder="1" applyAlignment="1">
      <alignment horizontal="left" vertical="center" wrapText="1"/>
    </xf>
    <xf numFmtId="176" fontId="1" fillId="0" borderId="5" xfId="0" applyNumberFormat="1" applyFont="1" applyBorder="1" applyAlignment="1">
      <alignment horizontal="center" vertical="center"/>
    </xf>
    <xf numFmtId="0" fontId="1" fillId="0" borderId="7" xfId="0" applyFont="1" applyBorder="1" applyAlignment="1">
      <alignment horizontal="center" vertical="center"/>
    </xf>
    <xf numFmtId="0" fontId="2" fillId="0" borderId="4" xfId="0" applyFont="1" applyBorder="1" applyAlignment="1">
      <alignment horizontal="left" vertical="center" wrapText="1"/>
    </xf>
    <xf numFmtId="0" fontId="2" fillId="0" borderId="2" xfId="39" applyFont="1" applyBorder="1" applyAlignment="1">
      <alignment horizontal="left" vertical="center" wrapText="1"/>
    </xf>
    <xf numFmtId="0" fontId="2" fillId="0" borderId="4" xfId="39" applyFont="1" applyBorder="1" applyAlignment="1">
      <alignment horizontal="left" vertical="center" wrapText="1"/>
    </xf>
    <xf numFmtId="0" fontId="1" fillId="5" borderId="1" xfId="0" applyFont="1" applyFill="1" applyBorder="1" applyAlignment="1" applyProtection="1">
      <alignment horizontal="center" vertical="center"/>
    </xf>
    <xf numFmtId="0" fontId="1" fillId="0" borderId="2" xfId="0" applyFont="1" applyBorder="1" applyAlignment="1">
      <alignment vertical="center" wrapText="1"/>
    </xf>
    <xf numFmtId="0" fontId="2" fillId="5" borderId="1" xfId="0" applyFont="1" applyFill="1" applyBorder="1" applyAlignment="1" applyProtection="1">
      <alignment horizontal="center" vertical="center"/>
    </xf>
    <xf numFmtId="0" fontId="2" fillId="0" borderId="1" xfId="0" applyFont="1" applyFill="1" applyBorder="1" applyAlignment="1">
      <alignment vertical="center" wrapText="1"/>
    </xf>
    <xf numFmtId="0" fontId="2" fillId="0" borderId="1" xfId="0" applyFont="1" applyFill="1" applyBorder="1" applyAlignment="1">
      <alignment vertical="center"/>
    </xf>
    <xf numFmtId="0" fontId="0" fillId="0" borderId="2" xfId="0" applyFont="1" applyBorder="1" applyAlignment="1">
      <alignment horizontal="left" vertical="center" wrapText="1"/>
    </xf>
    <xf numFmtId="0" fontId="0" fillId="0" borderId="4" xfId="0" applyFont="1" applyBorder="1" applyAlignment="1">
      <alignment horizontal="left" vertical="center" wrapText="1"/>
    </xf>
    <xf numFmtId="0" fontId="0" fillId="0" borderId="4" xfId="0" applyBorder="1" applyAlignment="1">
      <alignment horizontal="center" vertical="center"/>
    </xf>
    <xf numFmtId="0" fontId="0" fillId="0" borderId="1" xfId="0" applyFont="1" applyBorder="1" applyAlignment="1">
      <alignment horizontal="center" vertical="center"/>
    </xf>
    <xf numFmtId="0" fontId="1" fillId="6" borderId="8" xfId="0" applyFont="1" applyFill="1" applyBorder="1" applyAlignment="1">
      <alignment horizontal="center" vertical="center"/>
    </xf>
    <xf numFmtId="0" fontId="1" fillId="7" borderId="8" xfId="0" applyFont="1" applyFill="1" applyBorder="1" applyAlignment="1">
      <alignment horizontal="center" vertical="center"/>
    </xf>
    <xf numFmtId="0" fontId="1" fillId="8" borderId="8" xfId="0" applyFont="1" applyFill="1" applyBorder="1" applyAlignment="1">
      <alignment horizontal="center" vertical="center"/>
    </xf>
    <xf numFmtId="0" fontId="1" fillId="7" borderId="8" xfId="0" applyFont="1" applyFill="1" applyBorder="1" applyAlignment="1">
      <alignment horizontal="left" vertical="top" wrapText="1"/>
    </xf>
    <xf numFmtId="0" fontId="1" fillId="6" borderId="9" xfId="0" applyFont="1" applyFill="1" applyBorder="1" applyAlignment="1">
      <alignment horizontal="center" vertical="center"/>
    </xf>
    <xf numFmtId="0" fontId="1" fillId="6" borderId="10" xfId="0" applyFont="1" applyFill="1" applyBorder="1" applyAlignment="1">
      <alignment horizontal="center" vertical="center"/>
    </xf>
    <xf numFmtId="0" fontId="1" fillId="6" borderId="11" xfId="0" applyFont="1" applyFill="1" applyBorder="1" applyAlignment="1">
      <alignment horizontal="center" vertical="center"/>
    </xf>
    <xf numFmtId="0" fontId="1" fillId="9" borderId="8" xfId="0" applyFont="1" applyFill="1" applyBorder="1" applyAlignment="1">
      <alignment horizontal="center" vertical="center"/>
    </xf>
    <xf numFmtId="0" fontId="1" fillId="9" borderId="9" xfId="0" applyFont="1" applyFill="1" applyBorder="1" applyAlignment="1">
      <alignment horizontal="center" vertical="center"/>
    </xf>
    <xf numFmtId="0" fontId="1" fillId="9" borderId="10" xfId="0" applyFont="1" applyFill="1" applyBorder="1" applyAlignment="1">
      <alignment horizontal="center" vertical="center"/>
    </xf>
    <xf numFmtId="0" fontId="1" fillId="9" borderId="11" xfId="0" applyFont="1" applyFill="1" applyBorder="1" applyAlignment="1">
      <alignment horizontal="center" vertical="center"/>
    </xf>
    <xf numFmtId="0" fontId="1" fillId="10" borderId="8" xfId="0" applyFont="1" applyFill="1" applyBorder="1" applyAlignment="1">
      <alignment horizontal="center" vertical="center"/>
    </xf>
    <xf numFmtId="0" fontId="14" fillId="10" borderId="8" xfId="0" applyFont="1" applyFill="1" applyBorder="1" applyAlignment="1">
      <alignment horizontal="center" vertical="center"/>
    </xf>
    <xf numFmtId="0" fontId="1" fillId="10" borderId="9" xfId="0" applyFont="1" applyFill="1" applyBorder="1" applyAlignment="1">
      <alignment horizontal="center" vertical="center"/>
    </xf>
    <xf numFmtId="0" fontId="1" fillId="10" borderId="10" xfId="0" applyFont="1" applyFill="1" applyBorder="1" applyAlignment="1">
      <alignment horizontal="center" vertical="center"/>
    </xf>
    <xf numFmtId="0" fontId="1" fillId="10" borderId="11" xfId="0" applyFont="1" applyFill="1" applyBorder="1" applyAlignment="1">
      <alignment horizontal="center" vertical="center"/>
    </xf>
    <xf numFmtId="0" fontId="1" fillId="10" borderId="9" xfId="0" applyFont="1" applyFill="1" applyBorder="1" applyAlignment="1">
      <alignment horizontal="center" vertical="center" wrapText="1"/>
    </xf>
    <xf numFmtId="0" fontId="1" fillId="10" borderId="10" xfId="0" applyFont="1" applyFill="1" applyBorder="1" applyAlignment="1">
      <alignment horizontal="center" vertical="center" wrapText="1"/>
    </xf>
    <xf numFmtId="0" fontId="1" fillId="10" borderId="11" xfId="0" applyFont="1" applyFill="1" applyBorder="1" applyAlignment="1">
      <alignment horizontal="center" vertical="center" wrapText="1"/>
    </xf>
  </cellXfs>
  <cellStyles count="56">
    <cellStyle name="常规" xfId="0" builtinId="0"/>
    <cellStyle name="货币[0]" xfId="1" builtinId="7"/>
    <cellStyle name="Standard 3" xfId="2"/>
    <cellStyle name="20% - 强调文字颜色 3" xfId="3" builtinId="38"/>
    <cellStyle name="输入" xfId="4" builtinId="20"/>
    <cellStyle name="货币" xfId="5" builtinId="4"/>
    <cellStyle name="千位分隔[0]" xfId="6" builtinId="6"/>
    <cellStyle name="40% - 强调文字颜色 3" xfId="7" builtinId="39"/>
    <cellStyle name="差" xfId="8" builtinId="27"/>
    <cellStyle name="千位分隔" xfId="9" builtinId="3"/>
    <cellStyle name="60% - 强调文字颜色 3" xfId="10" builtinId="40"/>
    <cellStyle name="超链接" xfId="11" builtinId="8"/>
    <cellStyle name="百分比" xfId="12" builtinId="5"/>
    <cellStyle name="已访问的超链接" xfId="13" builtinId="9"/>
    <cellStyle name="常规 6" xfId="14"/>
    <cellStyle name="注释" xfId="15" builtinId="10"/>
    <cellStyle name="60% - 强调文字颜色 2" xfId="16" builtinId="36"/>
    <cellStyle name="标题 4" xfId="17" builtinId="19"/>
    <cellStyle name="警告文本" xfId="18" builtinId="11"/>
    <cellStyle name="标题" xfId="19" builtinId="15"/>
    <cellStyle name="解释性文本" xfId="20" builtinId="53"/>
    <cellStyle name="标题 1" xfId="21" builtinId="16"/>
    <cellStyle name="标题 2" xfId="22" builtinId="17"/>
    <cellStyle name="60% - 强调文字颜色 1" xfId="23" builtinId="32"/>
    <cellStyle name="标题 3" xfId="24" builtinId="18"/>
    <cellStyle name="60% - 强调文字颜色 4" xfId="25" builtinId="44"/>
    <cellStyle name="输出" xfId="26" builtinId="21"/>
    <cellStyle name="计算" xfId="27" builtinId="22"/>
    <cellStyle name="检查单元格" xfId="28" builtinId="23"/>
    <cellStyle name="20% - 强调文字颜色 6" xfId="29" builtinId="50"/>
    <cellStyle name="强调文字颜色 2" xfId="30" builtinId="33"/>
    <cellStyle name="链接单元格" xfId="31" builtinId="24"/>
    <cellStyle name="汇总" xfId="32" builtinId="25"/>
    <cellStyle name="好" xfId="33" builtinId="26"/>
    <cellStyle name="适中" xfId="34" builtinId="28"/>
    <cellStyle name="20% - 强调文字颜色 5" xfId="35" builtinId="46"/>
    <cellStyle name="强调文字颜色 1" xfId="36" builtinId="29"/>
    <cellStyle name="20% - 强调文字颜色 1" xfId="37" builtinId="30"/>
    <cellStyle name="40% - 强调文字颜色 1" xfId="38" builtinId="31"/>
    <cellStyle name="Standard 2" xfId="39"/>
    <cellStyle name="20% - 强调文字颜色 2" xfId="40" builtinId="34"/>
    <cellStyle name="40% - 强调文字颜色 2" xfId="41" builtinId="35"/>
    <cellStyle name="强调文字颜色 3" xfId="42" builtinId="37"/>
    <cellStyle name="强调文字颜色 4" xfId="43" builtinId="41"/>
    <cellStyle name="Standard 4" xfId="44"/>
    <cellStyle name="20% - 强调文字颜色 4" xfId="45" builtinId="42"/>
    <cellStyle name="40% - 强调文字颜色 4" xfId="46" builtinId="43"/>
    <cellStyle name="强调文字颜色 5" xfId="47" builtinId="45"/>
    <cellStyle name="40% - 强调文字颜色 5" xfId="48" builtinId="47"/>
    <cellStyle name="60% - 强调文字颜色 5" xfId="49" builtinId="48"/>
    <cellStyle name="强调文字颜色 6" xfId="50" builtinId="49"/>
    <cellStyle name="40% - 强调文字颜色 6" xfId="51" builtinId="51"/>
    <cellStyle name="60% - 强调文字颜色 6" xfId="52" builtinId="52"/>
    <cellStyle name="常规 2" xfId="53"/>
    <cellStyle name="常规 3" xfId="54"/>
    <cellStyle name="常规 5" xfId="55"/>
  </cellStyles>
  <tableStyles count="0" defaultTableStyle="TableStyleMedium9" defaultPivotStyle="PivotStyleLight16"/>
  <colors>
    <mruColors>
      <color rgb="00FF0000"/>
      <color rgb="0000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6" Type="http://schemas.openxmlformats.org/officeDocument/2006/relationships/styles" Target="styles.xml"/><Relationship Id="rId1" Type="http://schemas.openxmlformats.org/officeDocument/2006/relationships/worksheet" Target="worksheets/sheet1.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2.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N31"/>
  <sheetViews>
    <sheetView workbookViewId="0">
      <selection activeCell="I26" sqref="I26"/>
    </sheetView>
  </sheetViews>
  <sheetFormatPr defaultColWidth="9" defaultRowHeight="14.25"/>
  <cols>
    <col min="1" max="1" width="20.75" customWidth="1"/>
    <col min="2" max="2" width="13.625" customWidth="1"/>
    <col min="4" max="4" width="11.75" customWidth="1"/>
    <col min="5" max="5" width="10.625" customWidth="1"/>
    <col min="6" max="6" width="11.125" customWidth="1"/>
    <col min="7" max="7" width="15.875" customWidth="1"/>
    <col min="8" max="8" width="10.5" customWidth="1"/>
    <col min="9" max="9" width="11" customWidth="1"/>
    <col min="10" max="10" width="9.625" customWidth="1"/>
    <col min="11" max="11" width="9.875" customWidth="1"/>
    <col min="12" max="12" width="11.125" customWidth="1"/>
    <col min="13" max="13" width="10.5" customWidth="1"/>
    <col min="14" max="14" width="10" customWidth="1"/>
  </cols>
  <sheetData>
    <row r="2" spans="1:14">
      <c r="A2" s="161" t="s">
        <v>0</v>
      </c>
      <c r="B2" s="161"/>
      <c r="C2" s="161"/>
      <c r="D2" s="161"/>
      <c r="E2" s="161"/>
      <c r="F2" s="161"/>
      <c r="G2" s="161"/>
      <c r="H2" s="161"/>
      <c r="I2" s="161"/>
      <c r="J2" s="161"/>
      <c r="K2" s="161"/>
      <c r="L2" s="161"/>
      <c r="M2" s="161"/>
      <c r="N2" s="161"/>
    </row>
    <row r="3" spans="1:14">
      <c r="A3" s="162" t="s">
        <v>1</v>
      </c>
      <c r="B3" s="162" t="s">
        <v>2</v>
      </c>
      <c r="C3" s="162" t="s">
        <v>3</v>
      </c>
      <c r="D3" s="162"/>
      <c r="E3" s="162" t="s">
        <v>4</v>
      </c>
      <c r="F3" s="162"/>
      <c r="G3" s="162" t="s">
        <v>5</v>
      </c>
      <c r="H3" s="162" t="s">
        <v>6</v>
      </c>
      <c r="I3" s="162"/>
      <c r="J3" s="162"/>
      <c r="K3" s="162"/>
      <c r="L3" s="162"/>
      <c r="M3" s="162" t="s">
        <v>7</v>
      </c>
      <c r="N3" s="162"/>
    </row>
    <row r="4" spans="1:14">
      <c r="A4" s="163" t="s">
        <v>8</v>
      </c>
      <c r="B4" s="163" t="s">
        <v>8</v>
      </c>
      <c r="C4" s="163" t="s">
        <v>9</v>
      </c>
      <c r="D4" s="163" t="s">
        <v>10</v>
      </c>
      <c r="E4" s="163" t="s">
        <v>9</v>
      </c>
      <c r="F4" s="163" t="s">
        <v>10</v>
      </c>
      <c r="G4" s="163" t="s">
        <v>8</v>
      </c>
      <c r="H4" s="163" t="s">
        <v>11</v>
      </c>
      <c r="I4" s="163" t="s">
        <v>12</v>
      </c>
      <c r="J4" s="163" t="s">
        <v>13</v>
      </c>
      <c r="K4" s="163" t="s">
        <v>14</v>
      </c>
      <c r="L4" s="163" t="s">
        <v>15</v>
      </c>
      <c r="M4" s="163" t="s">
        <v>10</v>
      </c>
      <c r="N4" s="163" t="s">
        <v>9</v>
      </c>
    </row>
    <row r="5" ht="57" spans="1:14">
      <c r="A5" s="164" t="s">
        <v>16</v>
      </c>
      <c r="B5" s="164" t="s">
        <v>17</v>
      </c>
      <c r="C5" s="164"/>
      <c r="D5" s="164"/>
      <c r="E5" s="164"/>
      <c r="F5" s="164"/>
      <c r="G5" s="164"/>
      <c r="H5" s="164" t="s">
        <v>18</v>
      </c>
      <c r="I5" s="164"/>
      <c r="J5" s="164"/>
      <c r="K5" s="164"/>
      <c r="L5" s="164"/>
      <c r="M5" s="164" t="s">
        <v>19</v>
      </c>
      <c r="N5" s="164"/>
    </row>
    <row r="6" spans="1:14">
      <c r="A6" s="80"/>
      <c r="B6" s="80"/>
      <c r="C6" s="80"/>
      <c r="D6" s="80"/>
      <c r="E6" s="80"/>
      <c r="F6" s="80"/>
      <c r="G6" s="80"/>
      <c r="H6" s="80"/>
      <c r="I6" s="80"/>
      <c r="J6" s="80"/>
      <c r="K6" s="80"/>
      <c r="L6" s="80"/>
      <c r="M6" s="80"/>
      <c r="N6" s="80"/>
    </row>
    <row r="7" spans="1:14">
      <c r="A7" s="161" t="s">
        <v>20</v>
      </c>
      <c r="B7" s="161"/>
      <c r="C7" s="161"/>
      <c r="D7" s="161"/>
      <c r="E7" s="161"/>
      <c r="F7" s="161"/>
      <c r="G7" s="161"/>
      <c r="H7" s="161"/>
      <c r="I7" s="80"/>
      <c r="J7" s="80"/>
      <c r="K7" s="80"/>
      <c r="L7" s="80"/>
      <c r="M7" s="80"/>
      <c r="N7" s="80"/>
    </row>
    <row r="8" spans="1:14">
      <c r="A8" s="162" t="s">
        <v>1</v>
      </c>
      <c r="B8" s="162" t="s">
        <v>2</v>
      </c>
      <c r="C8" s="162" t="s">
        <v>3</v>
      </c>
      <c r="D8" s="162"/>
      <c r="E8" s="162" t="s">
        <v>4</v>
      </c>
      <c r="F8" s="162"/>
      <c r="G8" s="162" t="s">
        <v>7</v>
      </c>
      <c r="H8" s="162"/>
      <c r="I8" s="80"/>
      <c r="J8" s="80"/>
      <c r="K8" s="80"/>
      <c r="L8" s="80"/>
      <c r="M8" s="80"/>
      <c r="N8" s="80"/>
    </row>
    <row r="9" spans="1:14">
      <c r="A9" s="163" t="s">
        <v>8</v>
      </c>
      <c r="B9" s="163" t="s">
        <v>8</v>
      </c>
      <c r="C9" s="163" t="s">
        <v>9</v>
      </c>
      <c r="D9" s="163" t="s">
        <v>10</v>
      </c>
      <c r="E9" s="163" t="s">
        <v>9</v>
      </c>
      <c r="F9" s="163" t="s">
        <v>10</v>
      </c>
      <c r="G9" s="163" t="s">
        <v>10</v>
      </c>
      <c r="H9" s="163" t="s">
        <v>9</v>
      </c>
      <c r="I9" s="80"/>
      <c r="J9" s="80"/>
      <c r="K9" s="80"/>
      <c r="L9" s="80"/>
      <c r="M9" s="80"/>
      <c r="N9" s="80"/>
    </row>
    <row r="10" ht="28.5" spans="1:14">
      <c r="A10" s="164" t="s">
        <v>21</v>
      </c>
      <c r="B10" s="164" t="s">
        <v>17</v>
      </c>
      <c r="C10" s="164"/>
      <c r="D10" s="164"/>
      <c r="E10" s="164"/>
      <c r="F10" s="164"/>
      <c r="G10" s="164" t="s">
        <v>19</v>
      </c>
      <c r="H10" s="164"/>
      <c r="I10" s="80"/>
      <c r="J10" s="80"/>
      <c r="K10" s="80"/>
      <c r="L10" s="80"/>
      <c r="M10" s="80"/>
      <c r="N10" s="80"/>
    </row>
    <row r="11" spans="1:14">
      <c r="A11" s="80"/>
      <c r="B11" s="80"/>
      <c r="C11" s="80"/>
      <c r="D11" s="80"/>
      <c r="E11" s="80"/>
      <c r="F11" s="80"/>
      <c r="G11" s="80"/>
      <c r="H11" s="80"/>
      <c r="I11" s="80"/>
      <c r="J11" s="80"/>
      <c r="K11" s="80"/>
      <c r="L11" s="80"/>
      <c r="M11" s="80"/>
      <c r="N11" s="80"/>
    </row>
    <row r="12" spans="1:14">
      <c r="A12" s="161" t="s">
        <v>22</v>
      </c>
      <c r="B12" s="161"/>
      <c r="C12" s="161"/>
      <c r="D12" s="161"/>
      <c r="E12" s="161"/>
      <c r="F12" s="161"/>
      <c r="G12" s="161"/>
      <c r="H12" s="161"/>
      <c r="I12" s="80"/>
      <c r="J12" s="80"/>
      <c r="K12" s="80"/>
      <c r="L12" s="80"/>
      <c r="M12" s="80"/>
      <c r="N12" s="80"/>
    </row>
    <row r="13" spans="1:14">
      <c r="A13" s="162" t="s">
        <v>1</v>
      </c>
      <c r="B13" s="162" t="s">
        <v>2</v>
      </c>
      <c r="C13" s="162" t="s">
        <v>3</v>
      </c>
      <c r="D13" s="162"/>
      <c r="E13" s="162" t="s">
        <v>23</v>
      </c>
      <c r="F13" s="162"/>
      <c r="G13" s="162" t="s">
        <v>7</v>
      </c>
      <c r="H13" s="162"/>
      <c r="I13" s="80"/>
      <c r="J13" s="80"/>
      <c r="K13" s="80"/>
      <c r="L13" s="80"/>
      <c r="M13" s="80"/>
      <c r="N13" s="80"/>
    </row>
    <row r="14" spans="1:14">
      <c r="A14" s="163" t="s">
        <v>8</v>
      </c>
      <c r="B14" s="163" t="s">
        <v>8</v>
      </c>
      <c r="C14" s="163" t="s">
        <v>9</v>
      </c>
      <c r="D14" s="163" t="s">
        <v>10</v>
      </c>
      <c r="E14" s="163" t="s">
        <v>9</v>
      </c>
      <c r="F14" s="163" t="s">
        <v>10</v>
      </c>
      <c r="G14" s="163" t="s">
        <v>10</v>
      </c>
      <c r="H14" s="163" t="s">
        <v>9</v>
      </c>
      <c r="I14" s="80"/>
      <c r="J14" s="80"/>
      <c r="K14" s="80"/>
      <c r="L14" s="80"/>
      <c r="M14" s="80"/>
      <c r="N14" s="80"/>
    </row>
    <row r="15" ht="28.5" spans="1:14">
      <c r="A15" s="164" t="s">
        <v>24</v>
      </c>
      <c r="B15" s="164" t="s">
        <v>25</v>
      </c>
      <c r="C15" s="164"/>
      <c r="D15" s="164"/>
      <c r="E15" s="164"/>
      <c r="F15" s="164"/>
      <c r="G15" s="164" t="s">
        <v>19</v>
      </c>
      <c r="H15" s="164"/>
      <c r="I15" s="80"/>
      <c r="J15" s="80"/>
      <c r="K15" s="80"/>
      <c r="L15" s="80"/>
      <c r="M15" s="80"/>
      <c r="N15" s="80"/>
    </row>
    <row r="16" spans="1:14">
      <c r="A16" s="80"/>
      <c r="B16" s="80"/>
      <c r="C16" s="80"/>
      <c r="D16" s="80"/>
      <c r="E16" s="80"/>
      <c r="F16" s="80"/>
      <c r="G16" s="80"/>
      <c r="H16" s="80"/>
      <c r="I16" s="80"/>
      <c r="J16" s="80"/>
      <c r="K16" s="80"/>
      <c r="L16" s="80"/>
      <c r="M16" s="80"/>
      <c r="N16" s="80"/>
    </row>
    <row r="17" spans="1:14">
      <c r="A17" s="161" t="s">
        <v>26</v>
      </c>
      <c r="B17" s="161"/>
      <c r="C17" s="161"/>
      <c r="D17" s="161"/>
      <c r="E17" s="161"/>
      <c r="F17" s="161"/>
      <c r="G17" s="161"/>
      <c r="H17" s="161"/>
      <c r="I17" s="161"/>
      <c r="J17" s="161"/>
      <c r="K17" s="80"/>
      <c r="L17" s="80"/>
      <c r="M17" s="80"/>
      <c r="N17" s="80"/>
    </row>
    <row r="18" spans="1:14">
      <c r="A18" s="162" t="s">
        <v>1</v>
      </c>
      <c r="B18" s="162" t="s">
        <v>2</v>
      </c>
      <c r="C18" s="162" t="s">
        <v>27</v>
      </c>
      <c r="D18" s="162" t="s">
        <v>28</v>
      </c>
      <c r="E18" s="162"/>
      <c r="F18" s="162"/>
      <c r="G18" s="162"/>
      <c r="H18" s="162"/>
      <c r="I18" s="162" t="s">
        <v>7</v>
      </c>
      <c r="J18" s="162"/>
      <c r="K18" s="80"/>
      <c r="L18" s="80"/>
      <c r="M18" s="80"/>
      <c r="N18" s="80"/>
    </row>
    <row r="19" spans="1:14">
      <c r="A19" s="163" t="s">
        <v>8</v>
      </c>
      <c r="B19" s="163" t="s">
        <v>8</v>
      </c>
      <c r="C19" s="163" t="s">
        <v>8</v>
      </c>
      <c r="D19" s="163" t="s">
        <v>11</v>
      </c>
      <c r="E19" s="163" t="s">
        <v>12</v>
      </c>
      <c r="F19" s="163" t="s">
        <v>13</v>
      </c>
      <c r="G19" s="163" t="s">
        <v>14</v>
      </c>
      <c r="H19" s="163" t="s">
        <v>15</v>
      </c>
      <c r="I19" s="163" t="s">
        <v>10</v>
      </c>
      <c r="J19" s="163" t="s">
        <v>9</v>
      </c>
      <c r="K19" s="80"/>
      <c r="L19" s="80"/>
      <c r="M19" s="80"/>
      <c r="N19" s="80"/>
    </row>
    <row r="20" ht="28.5" spans="1:14">
      <c r="A20" s="164" t="s">
        <v>21</v>
      </c>
      <c r="B20" s="164" t="s">
        <v>25</v>
      </c>
      <c r="C20" s="164"/>
      <c r="D20" s="164" t="s">
        <v>29</v>
      </c>
      <c r="E20" s="164"/>
      <c r="F20" s="164"/>
      <c r="G20" s="164"/>
      <c r="H20" s="164"/>
      <c r="I20" s="164" t="s">
        <v>19</v>
      </c>
      <c r="J20" s="164"/>
      <c r="K20" s="80"/>
      <c r="L20" s="80"/>
      <c r="M20" s="80"/>
      <c r="N20" s="80"/>
    </row>
    <row r="21" spans="1:14">
      <c r="A21" s="80"/>
      <c r="B21" s="80"/>
      <c r="C21" s="80"/>
      <c r="D21" s="80"/>
      <c r="E21" s="80"/>
      <c r="F21" s="80"/>
      <c r="G21" s="80"/>
      <c r="H21" s="80"/>
      <c r="I21" s="80"/>
      <c r="J21" s="80"/>
      <c r="K21" s="80"/>
      <c r="L21" s="80"/>
      <c r="M21" s="80"/>
      <c r="N21" s="80"/>
    </row>
    <row r="22" spans="1:14">
      <c r="A22" s="161" t="s">
        <v>30</v>
      </c>
      <c r="B22" s="161"/>
      <c r="C22" s="161"/>
      <c r="D22" s="161"/>
      <c r="E22" s="161"/>
      <c r="F22" s="161"/>
      <c r="G22" s="80"/>
      <c r="H22" s="80"/>
      <c r="I22" s="80"/>
      <c r="J22" s="80"/>
      <c r="K22" s="80"/>
      <c r="L22" s="80"/>
      <c r="M22" s="80"/>
      <c r="N22" s="80"/>
    </row>
    <row r="23" spans="1:14">
      <c r="A23" s="162" t="s">
        <v>1</v>
      </c>
      <c r="B23" s="162" t="s">
        <v>2</v>
      </c>
      <c r="C23" s="162" t="s">
        <v>31</v>
      </c>
      <c r="D23" s="162"/>
      <c r="E23" s="162" t="s">
        <v>7</v>
      </c>
      <c r="F23" s="162"/>
      <c r="G23" s="80"/>
      <c r="H23" s="80"/>
      <c r="I23" s="80"/>
      <c r="J23" s="80"/>
      <c r="K23" s="80"/>
      <c r="L23" s="80"/>
      <c r="M23" s="80"/>
      <c r="N23" s="80"/>
    </row>
    <row r="24" spans="1:14">
      <c r="A24" s="163" t="s">
        <v>8</v>
      </c>
      <c r="B24" s="163" t="s">
        <v>8</v>
      </c>
      <c r="C24" s="163" t="s">
        <v>8</v>
      </c>
      <c r="D24" s="163"/>
      <c r="E24" s="163" t="s">
        <v>10</v>
      </c>
      <c r="F24" s="163" t="s">
        <v>9</v>
      </c>
      <c r="G24" s="80"/>
      <c r="H24" s="80"/>
      <c r="I24" s="80"/>
      <c r="J24" s="80"/>
      <c r="K24" s="80"/>
      <c r="L24" s="80"/>
      <c r="M24" s="80"/>
      <c r="N24" s="80"/>
    </row>
    <row r="25" ht="42.75" spans="1:14">
      <c r="A25" s="164" t="s">
        <v>21</v>
      </c>
      <c r="B25" s="164" t="s">
        <v>32</v>
      </c>
      <c r="C25" s="164" t="s">
        <v>33</v>
      </c>
      <c r="D25" s="164"/>
      <c r="E25" s="164" t="s">
        <v>19</v>
      </c>
      <c r="F25" s="164"/>
      <c r="G25" s="80"/>
      <c r="H25" s="80"/>
      <c r="I25" s="80"/>
      <c r="J25" s="80"/>
      <c r="K25" s="80"/>
      <c r="L25" s="80"/>
      <c r="M25" s="80"/>
      <c r="N25" s="80"/>
    </row>
    <row r="27" spans="1:5">
      <c r="A27" s="165" t="s">
        <v>34</v>
      </c>
      <c r="B27" s="166"/>
      <c r="C27" s="166"/>
      <c r="D27" s="166"/>
      <c r="E27" s="167"/>
    </row>
    <row r="28" spans="1:5">
      <c r="A28" s="168" t="s">
        <v>35</v>
      </c>
      <c r="B28" s="168" t="s">
        <v>36</v>
      </c>
      <c r="C28" s="169" t="s">
        <v>37</v>
      </c>
      <c r="D28" s="170"/>
      <c r="E28" s="171"/>
    </row>
    <row r="29" ht="15" spans="1:5">
      <c r="A29" s="172" t="s">
        <v>38</v>
      </c>
      <c r="B29" s="173" t="s">
        <v>39</v>
      </c>
      <c r="C29" s="174" t="s">
        <v>40</v>
      </c>
      <c r="D29" s="175"/>
      <c r="E29" s="176"/>
    </row>
    <row r="30" ht="15" spans="1:5">
      <c r="A30" s="172" t="s">
        <v>41</v>
      </c>
      <c r="B30" s="173" t="s">
        <v>42</v>
      </c>
      <c r="C30" s="174" t="s">
        <v>43</v>
      </c>
      <c r="D30" s="175"/>
      <c r="E30" s="176"/>
    </row>
    <row r="31" ht="33" customHeight="1" spans="1:5">
      <c r="A31" s="172" t="s">
        <v>44</v>
      </c>
      <c r="B31" s="173" t="s">
        <v>45</v>
      </c>
      <c r="C31" s="177" t="s">
        <v>46</v>
      </c>
      <c r="D31" s="178"/>
      <c r="E31" s="179"/>
    </row>
  </sheetData>
  <mergeCells count="39">
    <mergeCell ref="A2:N2"/>
    <mergeCell ref="C3:D3"/>
    <mergeCell ref="E3:F3"/>
    <mergeCell ref="H3:L3"/>
    <mergeCell ref="M3:N3"/>
    <mergeCell ref="C5:D5"/>
    <mergeCell ref="E5:F5"/>
    <mergeCell ref="H5:L5"/>
    <mergeCell ref="M5:N5"/>
    <mergeCell ref="A7:H7"/>
    <mergeCell ref="C8:D8"/>
    <mergeCell ref="E8:F8"/>
    <mergeCell ref="G8:H8"/>
    <mergeCell ref="C10:D10"/>
    <mergeCell ref="E10:F10"/>
    <mergeCell ref="G10:H10"/>
    <mergeCell ref="A12:H12"/>
    <mergeCell ref="C13:D13"/>
    <mergeCell ref="E13:F13"/>
    <mergeCell ref="G13:H13"/>
    <mergeCell ref="C15:D15"/>
    <mergeCell ref="E15:F15"/>
    <mergeCell ref="G15:H15"/>
    <mergeCell ref="A17:J17"/>
    <mergeCell ref="D18:H18"/>
    <mergeCell ref="I18:J18"/>
    <mergeCell ref="D20:H20"/>
    <mergeCell ref="I20:J20"/>
    <mergeCell ref="A22:F22"/>
    <mergeCell ref="C23:D23"/>
    <mergeCell ref="E23:F23"/>
    <mergeCell ref="C24:D24"/>
    <mergeCell ref="C25:D25"/>
    <mergeCell ref="E25:F25"/>
    <mergeCell ref="A27:E27"/>
    <mergeCell ref="C28:E28"/>
    <mergeCell ref="C29:E29"/>
    <mergeCell ref="C30:E30"/>
    <mergeCell ref="C31:E31"/>
  </mergeCell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2908"/>
  <sheetViews>
    <sheetView tabSelected="1" workbookViewId="0">
      <pane xSplit="1" ySplit="1" topLeftCell="B2" activePane="bottomRight" state="frozen"/>
      <selection/>
      <selection pane="topRight"/>
      <selection pane="bottomLeft"/>
      <selection pane="bottomRight" activeCell="N779" sqref="N779"/>
    </sheetView>
  </sheetViews>
  <sheetFormatPr defaultColWidth="9" defaultRowHeight="14.25"/>
  <cols>
    <col min="1" max="1" width="4.875" style="22" hidden="1" customWidth="1"/>
    <col min="2" max="2" width="13.25" style="50" customWidth="1"/>
    <col min="3" max="3" width="29.125" style="51" customWidth="1"/>
    <col min="4" max="4" width="9.75" style="22" customWidth="1"/>
    <col min="5" max="5" width="10.125" style="22" customWidth="1"/>
    <col min="6" max="6" width="9" style="22" customWidth="1"/>
    <col min="7" max="7" width="12.375" style="22" customWidth="1"/>
    <col min="8" max="8" width="11.75" style="22" customWidth="1"/>
    <col min="9" max="9" width="9.75" style="22" customWidth="1"/>
    <col min="10" max="10" width="38.75" style="52" customWidth="1"/>
    <col min="11" max="11" width="11.625" style="22" customWidth="1"/>
    <col min="12" max="12" width="9" style="22"/>
    <col min="13" max="13" width="15.25" style="22" customWidth="1"/>
    <col min="14" max="14" width="13.75" style="22" customWidth="1"/>
    <col min="15" max="16384" width="9" style="22"/>
  </cols>
  <sheetData>
    <row r="1" s="15" customFormat="1" spans="2:11">
      <c r="B1" s="53" t="s">
        <v>47</v>
      </c>
      <c r="C1" s="54" t="s">
        <v>48</v>
      </c>
      <c r="D1" s="55" t="s">
        <v>49</v>
      </c>
      <c r="E1" s="56" t="s">
        <v>50</v>
      </c>
      <c r="F1" s="56" t="s">
        <v>51</v>
      </c>
      <c r="G1" s="56" t="s">
        <v>52</v>
      </c>
      <c r="H1" s="56" t="s">
        <v>53</v>
      </c>
      <c r="I1" s="55" t="s">
        <v>54</v>
      </c>
      <c r="J1" s="54" t="s">
        <v>55</v>
      </c>
      <c r="K1" s="62" t="s">
        <v>56</v>
      </c>
    </row>
    <row r="2" s="46" customFormat="1" spans="1:13">
      <c r="A2" s="57" t="s">
        <v>57</v>
      </c>
      <c r="B2" s="58"/>
      <c r="C2" s="58"/>
      <c r="D2" s="58"/>
      <c r="E2" s="58"/>
      <c r="F2" s="58"/>
      <c r="G2" s="58"/>
      <c r="H2" s="58"/>
      <c r="I2" s="58"/>
      <c r="J2" s="58"/>
      <c r="K2" s="58"/>
      <c r="M2" s="47"/>
    </row>
    <row r="3" s="46" customFormat="1" outlineLevel="1" spans="1:13">
      <c r="A3" s="59"/>
      <c r="B3" s="60" t="str">
        <f>DEC2HEX(64+ROW()-ROW($B$3),4)</f>
        <v>0040</v>
      </c>
      <c r="C3" s="61" t="s">
        <v>58</v>
      </c>
      <c r="D3" s="59" t="s">
        <v>59</v>
      </c>
      <c r="E3" s="59"/>
      <c r="F3" s="59"/>
      <c r="G3" s="59"/>
      <c r="H3" s="59"/>
      <c r="I3" s="59" t="s">
        <v>38</v>
      </c>
      <c r="J3" s="63" t="s">
        <v>60</v>
      </c>
      <c r="K3" s="64" t="s">
        <v>61</v>
      </c>
      <c r="M3" s="47"/>
    </row>
    <row r="4" s="46" customFormat="1" outlineLevel="1" spans="1:13">
      <c r="A4" s="59"/>
      <c r="B4" s="60" t="str">
        <f t="shared" ref="B4:B13" si="0">DEC2HEX(64+ROW()-ROW($B$3),4)</f>
        <v>0041</v>
      </c>
      <c r="C4" s="61"/>
      <c r="D4" s="59"/>
      <c r="E4" s="59"/>
      <c r="F4" s="59"/>
      <c r="G4" s="59"/>
      <c r="H4" s="59"/>
      <c r="I4" s="59"/>
      <c r="J4" s="63"/>
      <c r="K4" s="64" t="s">
        <v>61</v>
      </c>
      <c r="M4" s="47"/>
    </row>
    <row r="5" s="46" customFormat="1" outlineLevel="1" spans="1:13">
      <c r="A5" s="59"/>
      <c r="B5" s="60" t="str">
        <f t="shared" si="0"/>
        <v>0042</v>
      </c>
      <c r="C5" s="61"/>
      <c r="D5" s="59"/>
      <c r="E5" s="59"/>
      <c r="F5" s="59"/>
      <c r="G5" s="59"/>
      <c r="H5" s="59"/>
      <c r="I5" s="59"/>
      <c r="J5" s="63"/>
      <c r="K5" s="64" t="s">
        <v>61</v>
      </c>
      <c r="M5" s="47"/>
    </row>
    <row r="6" s="46" customFormat="1" outlineLevel="1" spans="1:13">
      <c r="A6" s="59"/>
      <c r="B6" s="60" t="str">
        <f t="shared" si="0"/>
        <v>0043</v>
      </c>
      <c r="C6" s="61"/>
      <c r="D6" s="59"/>
      <c r="E6" s="59"/>
      <c r="F6" s="59"/>
      <c r="G6" s="59"/>
      <c r="H6" s="59"/>
      <c r="I6" s="59"/>
      <c r="J6" s="63"/>
      <c r="K6" s="64" t="s">
        <v>61</v>
      </c>
      <c r="M6" s="47"/>
    </row>
    <row r="7" s="46" customFormat="1" ht="171" outlineLevel="1" spans="1:13">
      <c r="A7" s="59"/>
      <c r="B7" s="60" t="str">
        <f t="shared" si="0"/>
        <v>0044</v>
      </c>
      <c r="C7" s="61" t="s">
        <v>62</v>
      </c>
      <c r="D7" s="59" t="s">
        <v>63</v>
      </c>
      <c r="E7" s="59"/>
      <c r="F7" s="59"/>
      <c r="G7" s="59">
        <v>1.06</v>
      </c>
      <c r="H7" s="59">
        <v>99.99</v>
      </c>
      <c r="I7" s="59" t="s">
        <v>38</v>
      </c>
      <c r="J7" s="63" t="s">
        <v>64</v>
      </c>
      <c r="K7" s="64" t="s">
        <v>61</v>
      </c>
      <c r="M7" s="47"/>
    </row>
    <row r="8" s="46" customFormat="1" ht="57" outlineLevel="1" spans="1:13">
      <c r="A8" s="59"/>
      <c r="B8" s="60" t="str">
        <f t="shared" si="0"/>
        <v>0045</v>
      </c>
      <c r="C8" s="61" t="s">
        <v>65</v>
      </c>
      <c r="D8" s="59" t="s">
        <v>66</v>
      </c>
      <c r="E8" s="59"/>
      <c r="F8" s="59"/>
      <c r="G8" s="59"/>
      <c r="H8" s="59"/>
      <c r="I8" s="59" t="s">
        <v>38</v>
      </c>
      <c r="J8" s="63" t="s">
        <v>67</v>
      </c>
      <c r="K8" s="64" t="s">
        <v>61</v>
      </c>
      <c r="M8" s="47"/>
    </row>
    <row r="9" s="46" customFormat="1" ht="57" outlineLevel="1" spans="1:13">
      <c r="A9" s="59"/>
      <c r="B9" s="60" t="str">
        <f t="shared" si="0"/>
        <v>0046</v>
      </c>
      <c r="C9" s="61" t="s">
        <v>68</v>
      </c>
      <c r="D9" s="59" t="s">
        <v>66</v>
      </c>
      <c r="E9" s="59"/>
      <c r="F9" s="59"/>
      <c r="G9" s="59"/>
      <c r="H9" s="59"/>
      <c r="I9" s="59" t="s">
        <v>38</v>
      </c>
      <c r="J9" s="63" t="s">
        <v>69</v>
      </c>
      <c r="K9" s="64" t="s">
        <v>61</v>
      </c>
      <c r="M9" s="47"/>
    </row>
    <row r="10" s="46" customFormat="1" ht="57" outlineLevel="1" spans="1:13">
      <c r="A10" s="59"/>
      <c r="B10" s="60" t="str">
        <f t="shared" si="0"/>
        <v>0047</v>
      </c>
      <c r="C10" s="61" t="s">
        <v>70</v>
      </c>
      <c r="D10" s="59" t="s">
        <v>66</v>
      </c>
      <c r="E10" s="59"/>
      <c r="F10" s="59"/>
      <c r="G10" s="59"/>
      <c r="H10" s="59"/>
      <c r="I10" s="59" t="s">
        <v>38</v>
      </c>
      <c r="J10" s="63" t="s">
        <v>71</v>
      </c>
      <c r="K10" s="64" t="s">
        <v>61</v>
      </c>
      <c r="M10" s="47"/>
    </row>
    <row r="11" s="46" customFormat="1" outlineLevel="1" spans="1:13">
      <c r="A11" s="59"/>
      <c r="B11" s="60" t="str">
        <f t="shared" si="0"/>
        <v>0048</v>
      </c>
      <c r="C11" s="61" t="s">
        <v>72</v>
      </c>
      <c r="D11" s="59"/>
      <c r="E11" s="59"/>
      <c r="F11" s="59"/>
      <c r="G11" s="59"/>
      <c r="H11" s="59"/>
      <c r="I11" s="59"/>
      <c r="J11" s="61"/>
      <c r="K11" s="59"/>
      <c r="M11" s="47"/>
    </row>
    <row r="12" s="46" customFormat="1" outlineLevel="1" spans="1:13">
      <c r="A12" s="59"/>
      <c r="B12" s="60" t="str">
        <f t="shared" si="0"/>
        <v>0049</v>
      </c>
      <c r="C12" s="61" t="s">
        <v>73</v>
      </c>
      <c r="D12" s="59"/>
      <c r="E12" s="59"/>
      <c r="F12" s="59"/>
      <c r="G12" s="59"/>
      <c r="H12" s="59"/>
      <c r="I12" s="59"/>
      <c r="J12" s="61"/>
      <c r="K12" s="59"/>
      <c r="M12" s="47"/>
    </row>
    <row r="13" s="46" customFormat="1" outlineLevel="1" spans="1:13">
      <c r="A13" s="59"/>
      <c r="B13" s="60" t="str">
        <f t="shared" si="0"/>
        <v>004A</v>
      </c>
      <c r="C13" s="61" t="s">
        <v>74</v>
      </c>
      <c r="D13" s="59"/>
      <c r="E13" s="59"/>
      <c r="F13" s="59"/>
      <c r="G13" s="59"/>
      <c r="H13" s="59"/>
      <c r="I13" s="59"/>
      <c r="J13" s="61"/>
      <c r="K13" s="59"/>
      <c r="M13" s="47"/>
    </row>
    <row r="14" s="46" customFormat="1" outlineLevel="1" spans="1:13">
      <c r="A14" s="59"/>
      <c r="B14" s="60" t="str">
        <f t="shared" ref="B14:B23" si="1">DEC2HEX(64+ROW()-ROW($B$3),4)</f>
        <v>004B</v>
      </c>
      <c r="C14" s="61" t="s">
        <v>75</v>
      </c>
      <c r="D14" s="59"/>
      <c r="E14" s="59"/>
      <c r="F14" s="59"/>
      <c r="G14" s="59"/>
      <c r="H14" s="59"/>
      <c r="I14" s="59"/>
      <c r="J14" s="61"/>
      <c r="K14" s="59"/>
      <c r="M14" s="47"/>
    </row>
    <row r="15" s="46" customFormat="1" outlineLevel="1" spans="1:13">
      <c r="A15" s="59"/>
      <c r="B15" s="60" t="str">
        <f t="shared" si="1"/>
        <v>004C</v>
      </c>
      <c r="C15" s="61" t="s">
        <v>76</v>
      </c>
      <c r="D15" s="59"/>
      <c r="E15" s="59"/>
      <c r="F15" s="59"/>
      <c r="G15" s="59"/>
      <c r="H15" s="59"/>
      <c r="I15" s="59"/>
      <c r="J15" s="61"/>
      <c r="K15" s="59"/>
      <c r="M15" s="47"/>
    </row>
    <row r="16" s="46" customFormat="1" outlineLevel="1" spans="1:13">
      <c r="A16" s="59"/>
      <c r="B16" s="60" t="str">
        <f t="shared" si="1"/>
        <v>004D</v>
      </c>
      <c r="C16" s="61" t="s">
        <v>77</v>
      </c>
      <c r="D16" s="59"/>
      <c r="E16" s="59"/>
      <c r="F16" s="59"/>
      <c r="G16" s="59"/>
      <c r="H16" s="59"/>
      <c r="I16" s="59"/>
      <c r="J16" s="61"/>
      <c r="K16" s="59"/>
      <c r="M16" s="47"/>
    </row>
    <row r="17" s="46" customFormat="1" outlineLevel="1" spans="1:13">
      <c r="A17" s="59"/>
      <c r="B17" s="60" t="str">
        <f t="shared" si="1"/>
        <v>004E</v>
      </c>
      <c r="C17" s="61" t="s">
        <v>78</v>
      </c>
      <c r="D17" s="59"/>
      <c r="E17" s="59"/>
      <c r="F17" s="59"/>
      <c r="G17" s="59"/>
      <c r="H17" s="59"/>
      <c r="I17" s="59"/>
      <c r="J17" s="61"/>
      <c r="K17" s="59"/>
      <c r="M17" s="47"/>
    </row>
    <row r="18" s="46" customFormat="1" outlineLevel="1" spans="1:13">
      <c r="A18" s="59"/>
      <c r="B18" s="60" t="str">
        <f t="shared" si="1"/>
        <v>004F</v>
      </c>
      <c r="C18" s="61" t="s">
        <v>79</v>
      </c>
      <c r="D18" s="59"/>
      <c r="E18" s="59"/>
      <c r="F18" s="59"/>
      <c r="G18" s="59"/>
      <c r="H18" s="59"/>
      <c r="I18" s="59"/>
      <c r="J18" s="61"/>
      <c r="K18" s="59"/>
      <c r="M18" s="47"/>
    </row>
    <row r="19" s="46" customFormat="1" outlineLevel="1" spans="1:13">
      <c r="A19" s="59"/>
      <c r="B19" s="60" t="str">
        <f t="shared" si="1"/>
        <v>0050</v>
      </c>
      <c r="C19" s="61" t="s">
        <v>80</v>
      </c>
      <c r="D19" s="59"/>
      <c r="E19" s="59"/>
      <c r="F19" s="59"/>
      <c r="G19" s="59"/>
      <c r="H19" s="59"/>
      <c r="I19" s="59"/>
      <c r="J19" s="61"/>
      <c r="K19" s="59"/>
      <c r="M19" s="47"/>
    </row>
    <row r="20" s="46" customFormat="1" outlineLevel="1" spans="1:13">
      <c r="A20" s="59"/>
      <c r="B20" s="60" t="str">
        <f t="shared" si="1"/>
        <v>0051</v>
      </c>
      <c r="C20" s="61" t="s">
        <v>81</v>
      </c>
      <c r="D20" s="59"/>
      <c r="E20" s="59"/>
      <c r="F20" s="59"/>
      <c r="G20" s="59"/>
      <c r="H20" s="59"/>
      <c r="I20" s="59"/>
      <c r="J20" s="61"/>
      <c r="K20" s="59"/>
      <c r="M20" s="47"/>
    </row>
    <row r="21" s="46" customFormat="1" outlineLevel="1" spans="1:13">
      <c r="A21" s="59"/>
      <c r="B21" s="60" t="str">
        <f t="shared" si="1"/>
        <v>0052</v>
      </c>
      <c r="C21" s="61" t="s">
        <v>82</v>
      </c>
      <c r="D21" s="59"/>
      <c r="E21" s="59"/>
      <c r="F21" s="59"/>
      <c r="G21" s="59"/>
      <c r="H21" s="59"/>
      <c r="I21" s="59"/>
      <c r="J21" s="61"/>
      <c r="K21" s="59"/>
      <c r="M21" s="47"/>
    </row>
    <row r="22" s="46" customFormat="1" outlineLevel="1" spans="1:13">
      <c r="A22" s="59"/>
      <c r="B22" s="60" t="str">
        <f t="shared" si="1"/>
        <v>0053</v>
      </c>
      <c r="C22" s="61" t="s">
        <v>83</v>
      </c>
      <c r="D22" s="59"/>
      <c r="E22" s="59"/>
      <c r="F22" s="59"/>
      <c r="G22" s="59"/>
      <c r="H22" s="59"/>
      <c r="I22" s="59"/>
      <c r="J22" s="61"/>
      <c r="K22" s="59"/>
      <c r="M22" s="47"/>
    </row>
    <row r="23" s="46" customFormat="1" outlineLevel="1" spans="1:13">
      <c r="A23" s="59"/>
      <c r="B23" s="60" t="str">
        <f t="shared" si="1"/>
        <v>0054</v>
      </c>
      <c r="C23" s="61" t="s">
        <v>84</v>
      </c>
      <c r="D23" s="59"/>
      <c r="E23" s="59"/>
      <c r="F23" s="59"/>
      <c r="G23" s="59"/>
      <c r="H23" s="59"/>
      <c r="I23" s="59"/>
      <c r="J23" s="61"/>
      <c r="K23" s="59"/>
      <c r="M23" s="47"/>
    </row>
    <row r="24" s="46" customFormat="1" outlineLevel="1" spans="1:13">
      <c r="A24" s="59"/>
      <c r="B24" s="60" t="str">
        <f t="shared" ref="B24:B29" si="2">DEC2HEX(64+ROW()-ROW($B$3),4)</f>
        <v>0055</v>
      </c>
      <c r="C24" s="61"/>
      <c r="D24" s="59"/>
      <c r="E24" s="59"/>
      <c r="F24" s="59"/>
      <c r="G24" s="59"/>
      <c r="H24" s="59"/>
      <c r="I24" s="59"/>
      <c r="J24" s="61"/>
      <c r="K24" s="59"/>
      <c r="M24" s="47"/>
    </row>
    <row r="25" s="46" customFormat="1" outlineLevel="1" spans="1:13">
      <c r="A25" s="59"/>
      <c r="B25" s="60" t="str">
        <f t="shared" si="2"/>
        <v>0056</v>
      </c>
      <c r="C25" s="61"/>
      <c r="D25" s="59"/>
      <c r="E25" s="59"/>
      <c r="F25" s="59"/>
      <c r="G25" s="59"/>
      <c r="H25" s="59"/>
      <c r="I25" s="59"/>
      <c r="J25" s="61"/>
      <c r="K25" s="59"/>
      <c r="M25" s="47"/>
    </row>
    <row r="26" s="46" customFormat="1" outlineLevel="1" spans="1:13">
      <c r="A26" s="59"/>
      <c r="B26" s="60" t="str">
        <f t="shared" si="2"/>
        <v>0057</v>
      </c>
      <c r="C26" s="61"/>
      <c r="D26" s="59"/>
      <c r="E26" s="59"/>
      <c r="F26" s="59"/>
      <c r="G26" s="59"/>
      <c r="H26" s="59"/>
      <c r="I26" s="59"/>
      <c r="J26" s="61"/>
      <c r="K26" s="59"/>
      <c r="M26" s="47"/>
    </row>
    <row r="27" s="46" customFormat="1" outlineLevel="1" spans="1:13">
      <c r="A27" s="59"/>
      <c r="B27" s="60" t="str">
        <f t="shared" si="2"/>
        <v>0058</v>
      </c>
      <c r="C27" s="61"/>
      <c r="D27" s="59"/>
      <c r="E27" s="59"/>
      <c r="F27" s="59"/>
      <c r="G27" s="59"/>
      <c r="H27" s="59"/>
      <c r="I27" s="59"/>
      <c r="J27" s="61"/>
      <c r="K27" s="59"/>
      <c r="M27" s="47"/>
    </row>
    <row r="28" s="46" customFormat="1" outlineLevel="1" spans="1:13">
      <c r="A28" s="59"/>
      <c r="B28" s="60" t="str">
        <f t="shared" si="2"/>
        <v>0059</v>
      </c>
      <c r="C28" s="61"/>
      <c r="D28" s="59"/>
      <c r="E28" s="59"/>
      <c r="F28" s="59"/>
      <c r="G28" s="59"/>
      <c r="H28" s="59"/>
      <c r="I28" s="59"/>
      <c r="J28" s="61"/>
      <c r="K28" s="59"/>
      <c r="M28" s="47"/>
    </row>
    <row r="29" s="46" customFormat="1" outlineLevel="1" spans="1:13">
      <c r="A29" s="59"/>
      <c r="B29" s="60" t="str">
        <f t="shared" si="2"/>
        <v>005A</v>
      </c>
      <c r="C29" s="61"/>
      <c r="D29" s="59"/>
      <c r="E29" s="59"/>
      <c r="F29" s="59"/>
      <c r="G29" s="59"/>
      <c r="H29" s="59"/>
      <c r="I29" s="59"/>
      <c r="J29" s="61"/>
      <c r="K29" s="59"/>
      <c r="M29" s="47"/>
    </row>
    <row r="30" s="46" customFormat="1" outlineLevel="1" spans="1:13">
      <c r="A30" s="59"/>
      <c r="B30" s="60" t="str">
        <f t="shared" ref="B30:B39" si="3">DEC2HEX(64+ROW()-ROW($B$3),4)</f>
        <v>005B</v>
      </c>
      <c r="C30" s="61"/>
      <c r="D30" s="59"/>
      <c r="E30" s="59"/>
      <c r="F30" s="59"/>
      <c r="G30" s="59"/>
      <c r="H30" s="59"/>
      <c r="I30" s="59"/>
      <c r="J30" s="61"/>
      <c r="K30" s="59"/>
      <c r="M30" s="47"/>
    </row>
    <row r="31" s="46" customFormat="1" outlineLevel="1" spans="1:13">
      <c r="A31" s="59"/>
      <c r="B31" s="60" t="str">
        <f t="shared" si="3"/>
        <v>005C</v>
      </c>
      <c r="C31" s="61"/>
      <c r="D31" s="59"/>
      <c r="E31" s="59"/>
      <c r="F31" s="59"/>
      <c r="G31" s="59"/>
      <c r="H31" s="59"/>
      <c r="I31" s="59"/>
      <c r="J31" s="61"/>
      <c r="K31" s="59"/>
      <c r="M31" s="47"/>
    </row>
    <row r="32" s="46" customFormat="1" outlineLevel="1" spans="1:13">
      <c r="A32" s="59"/>
      <c r="B32" s="60" t="str">
        <f t="shared" si="3"/>
        <v>005D</v>
      </c>
      <c r="C32" s="61"/>
      <c r="D32" s="59"/>
      <c r="E32" s="59"/>
      <c r="F32" s="59"/>
      <c r="G32" s="59"/>
      <c r="H32" s="59"/>
      <c r="I32" s="59"/>
      <c r="J32" s="61"/>
      <c r="K32" s="59"/>
      <c r="M32" s="47"/>
    </row>
    <row r="33" s="46" customFormat="1" outlineLevel="1" spans="1:13">
      <c r="A33" s="59"/>
      <c r="B33" s="60" t="str">
        <f t="shared" si="3"/>
        <v>005E</v>
      </c>
      <c r="C33" s="61"/>
      <c r="D33" s="59"/>
      <c r="E33" s="59"/>
      <c r="F33" s="59"/>
      <c r="G33" s="59"/>
      <c r="H33" s="59"/>
      <c r="I33" s="59"/>
      <c r="J33" s="61"/>
      <c r="K33" s="59"/>
      <c r="M33" s="47"/>
    </row>
    <row r="34" s="46" customFormat="1" outlineLevel="1" spans="1:13">
      <c r="A34" s="59"/>
      <c r="B34" s="60" t="str">
        <f t="shared" si="3"/>
        <v>005F</v>
      </c>
      <c r="C34" s="61"/>
      <c r="D34" s="59"/>
      <c r="E34" s="59"/>
      <c r="F34" s="59"/>
      <c r="G34" s="59"/>
      <c r="H34" s="59"/>
      <c r="I34" s="59"/>
      <c r="J34" s="61"/>
      <c r="K34" s="59"/>
      <c r="M34" s="47"/>
    </row>
    <row r="35" s="46" customFormat="1" outlineLevel="1" spans="1:13">
      <c r="A35" s="59"/>
      <c r="B35" s="60" t="str">
        <f t="shared" si="3"/>
        <v>0060</v>
      </c>
      <c r="C35" s="61"/>
      <c r="D35" s="59"/>
      <c r="E35" s="59"/>
      <c r="F35" s="59"/>
      <c r="G35" s="59"/>
      <c r="H35" s="59"/>
      <c r="I35" s="59"/>
      <c r="J35" s="61"/>
      <c r="K35" s="59"/>
      <c r="M35" s="47"/>
    </row>
    <row r="36" s="46" customFormat="1" outlineLevel="1" spans="1:13">
      <c r="A36" s="59"/>
      <c r="B36" s="60" t="str">
        <f t="shared" si="3"/>
        <v>0061</v>
      </c>
      <c r="C36" s="61"/>
      <c r="D36" s="59"/>
      <c r="E36" s="59"/>
      <c r="F36" s="59"/>
      <c r="G36" s="59"/>
      <c r="H36" s="59"/>
      <c r="I36" s="59"/>
      <c r="J36" s="61"/>
      <c r="K36" s="59"/>
      <c r="M36" s="47"/>
    </row>
    <row r="37" s="46" customFormat="1" outlineLevel="1" spans="1:13">
      <c r="A37" s="59"/>
      <c r="B37" s="60" t="str">
        <f t="shared" si="3"/>
        <v>0062</v>
      </c>
      <c r="C37" s="61"/>
      <c r="D37" s="59"/>
      <c r="E37" s="59"/>
      <c r="F37" s="59"/>
      <c r="G37" s="59"/>
      <c r="H37" s="59"/>
      <c r="I37" s="59"/>
      <c r="J37" s="61"/>
      <c r="K37" s="59"/>
      <c r="M37" s="47"/>
    </row>
    <row r="38" s="46" customFormat="1" outlineLevel="1" spans="1:13">
      <c r="A38" s="59"/>
      <c r="B38" s="60" t="str">
        <f t="shared" si="3"/>
        <v>0063</v>
      </c>
      <c r="C38" s="61"/>
      <c r="D38" s="59"/>
      <c r="E38" s="59"/>
      <c r="F38" s="59"/>
      <c r="G38" s="59"/>
      <c r="H38" s="59"/>
      <c r="I38" s="59"/>
      <c r="J38" s="61"/>
      <c r="K38" s="59"/>
      <c r="M38" s="47"/>
    </row>
    <row r="39" s="46" customFormat="1" outlineLevel="1" spans="1:13">
      <c r="A39" s="59"/>
      <c r="B39" s="60" t="str">
        <f t="shared" si="3"/>
        <v>0064</v>
      </c>
      <c r="C39" s="61"/>
      <c r="D39" s="59"/>
      <c r="E39" s="59"/>
      <c r="F39" s="59"/>
      <c r="G39" s="59"/>
      <c r="H39" s="59"/>
      <c r="I39" s="59"/>
      <c r="J39" s="61"/>
      <c r="K39" s="59"/>
      <c r="M39" s="47"/>
    </row>
    <row r="40" s="46" customFormat="1" outlineLevel="1" spans="1:13">
      <c r="A40" s="59"/>
      <c r="B40" s="60" t="str">
        <f t="shared" ref="B40:B48" si="4">DEC2HEX(64+ROW()-ROW($B$3),4)</f>
        <v>0065</v>
      </c>
      <c r="C40" s="61"/>
      <c r="D40" s="59"/>
      <c r="E40" s="59"/>
      <c r="F40" s="59"/>
      <c r="G40" s="59"/>
      <c r="H40" s="59"/>
      <c r="I40" s="59"/>
      <c r="J40" s="61"/>
      <c r="K40" s="59"/>
      <c r="M40" s="47"/>
    </row>
    <row r="41" s="46" customFormat="1" outlineLevel="1" spans="1:13">
      <c r="A41" s="59"/>
      <c r="B41" s="60" t="str">
        <f t="shared" si="4"/>
        <v>0066</v>
      </c>
      <c r="C41" s="61"/>
      <c r="D41" s="59"/>
      <c r="E41" s="59"/>
      <c r="F41" s="59"/>
      <c r="G41" s="59"/>
      <c r="H41" s="59"/>
      <c r="I41" s="59"/>
      <c r="J41" s="61"/>
      <c r="K41" s="59"/>
      <c r="M41" s="47"/>
    </row>
    <row r="42" s="46" customFormat="1" outlineLevel="1" spans="1:13">
      <c r="A42" s="59"/>
      <c r="B42" s="60" t="str">
        <f t="shared" si="4"/>
        <v>0067</v>
      </c>
      <c r="C42" s="61"/>
      <c r="D42" s="59"/>
      <c r="E42" s="59"/>
      <c r="F42" s="59"/>
      <c r="G42" s="59"/>
      <c r="H42" s="59"/>
      <c r="I42" s="59"/>
      <c r="J42" s="61"/>
      <c r="K42" s="59"/>
      <c r="M42" s="47"/>
    </row>
    <row r="43" s="46" customFormat="1" outlineLevel="1" spans="1:13">
      <c r="A43" s="59"/>
      <c r="B43" s="60" t="str">
        <f t="shared" si="4"/>
        <v>0068</v>
      </c>
      <c r="C43" s="61"/>
      <c r="D43" s="59"/>
      <c r="E43" s="59"/>
      <c r="F43" s="59"/>
      <c r="G43" s="59"/>
      <c r="H43" s="59"/>
      <c r="I43" s="59"/>
      <c r="J43" s="61"/>
      <c r="K43" s="59"/>
      <c r="M43" s="47"/>
    </row>
    <row r="44" s="46" customFormat="1" outlineLevel="1" spans="1:13">
      <c r="A44" s="59"/>
      <c r="B44" s="60" t="str">
        <f t="shared" si="4"/>
        <v>0069</v>
      </c>
      <c r="C44" s="61"/>
      <c r="D44" s="59"/>
      <c r="E44" s="59"/>
      <c r="F44" s="59"/>
      <c r="G44" s="59"/>
      <c r="H44" s="59"/>
      <c r="I44" s="59"/>
      <c r="J44" s="61"/>
      <c r="K44" s="59"/>
      <c r="M44" s="47"/>
    </row>
    <row r="45" s="46" customFormat="1" outlineLevel="1" spans="1:13">
      <c r="A45" s="59"/>
      <c r="B45" s="60" t="str">
        <f t="shared" si="4"/>
        <v>006A</v>
      </c>
      <c r="C45" s="61"/>
      <c r="D45" s="59"/>
      <c r="E45" s="59"/>
      <c r="F45" s="59"/>
      <c r="G45" s="59"/>
      <c r="H45" s="59"/>
      <c r="I45" s="59"/>
      <c r="J45" s="61"/>
      <c r="K45" s="59"/>
      <c r="M45" s="47"/>
    </row>
    <row r="46" s="46" customFormat="1" outlineLevel="1" spans="1:13">
      <c r="A46" s="59"/>
      <c r="B46" s="60" t="str">
        <f t="shared" si="4"/>
        <v>006B</v>
      </c>
      <c r="C46" s="61"/>
      <c r="D46" s="59"/>
      <c r="E46" s="59"/>
      <c r="F46" s="59"/>
      <c r="G46" s="59"/>
      <c r="H46" s="59"/>
      <c r="I46" s="59"/>
      <c r="J46" s="61"/>
      <c r="K46" s="59"/>
      <c r="M46" s="47"/>
    </row>
    <row r="47" s="46" customFormat="1" outlineLevel="1" spans="1:13">
      <c r="A47" s="59"/>
      <c r="B47" s="60" t="str">
        <f t="shared" si="4"/>
        <v>006C</v>
      </c>
      <c r="C47" s="61"/>
      <c r="D47" s="59"/>
      <c r="E47" s="59"/>
      <c r="F47" s="59"/>
      <c r="G47" s="59"/>
      <c r="H47" s="59"/>
      <c r="I47" s="59"/>
      <c r="J47" s="61"/>
      <c r="K47" s="59"/>
      <c r="M47" s="47"/>
    </row>
    <row r="48" s="46" customFormat="1" outlineLevel="1" spans="1:13">
      <c r="A48" s="59"/>
      <c r="B48" s="60" t="str">
        <f t="shared" si="4"/>
        <v>006D</v>
      </c>
      <c r="C48" s="61"/>
      <c r="D48" s="59"/>
      <c r="E48" s="59"/>
      <c r="F48" s="59"/>
      <c r="G48" s="59"/>
      <c r="H48" s="59"/>
      <c r="I48" s="59"/>
      <c r="J48" s="61"/>
      <c r="K48" s="59"/>
      <c r="M48" s="47"/>
    </row>
    <row r="49" s="46" customFormat="1" outlineLevel="1" spans="1:13">
      <c r="A49" s="59"/>
      <c r="B49" s="60" t="str">
        <f t="shared" ref="B49:B66" si="5">DEC2HEX(64+ROW()-ROW($B$3),4)</f>
        <v>006E</v>
      </c>
      <c r="C49" s="61"/>
      <c r="D49" s="59"/>
      <c r="E49" s="59"/>
      <c r="F49" s="59"/>
      <c r="G49" s="59"/>
      <c r="H49" s="59"/>
      <c r="I49" s="59"/>
      <c r="J49" s="61"/>
      <c r="K49" s="59"/>
      <c r="M49" s="47"/>
    </row>
    <row r="50" s="46" customFormat="1" outlineLevel="1" spans="1:13">
      <c r="A50" s="59"/>
      <c r="B50" s="60" t="str">
        <f t="shared" si="5"/>
        <v>006F</v>
      </c>
      <c r="C50" s="61"/>
      <c r="D50" s="59"/>
      <c r="E50" s="59"/>
      <c r="F50" s="59"/>
      <c r="G50" s="59"/>
      <c r="H50" s="59"/>
      <c r="I50" s="59"/>
      <c r="J50" s="61"/>
      <c r="K50" s="59"/>
      <c r="M50" s="47"/>
    </row>
    <row r="51" s="46" customFormat="1" outlineLevel="1" spans="1:13">
      <c r="A51" s="59"/>
      <c r="B51" s="60" t="str">
        <f t="shared" si="5"/>
        <v>0070</v>
      </c>
      <c r="C51" s="61"/>
      <c r="D51" s="59"/>
      <c r="E51" s="59"/>
      <c r="F51" s="59"/>
      <c r="G51" s="59"/>
      <c r="H51" s="59"/>
      <c r="I51" s="59"/>
      <c r="J51" s="61"/>
      <c r="K51" s="59"/>
      <c r="M51" s="47"/>
    </row>
    <row r="52" s="46" customFormat="1" outlineLevel="1" spans="1:13">
      <c r="A52" s="59"/>
      <c r="B52" s="60" t="str">
        <f t="shared" si="5"/>
        <v>0071</v>
      </c>
      <c r="C52" s="61"/>
      <c r="D52" s="59"/>
      <c r="E52" s="59"/>
      <c r="F52" s="59"/>
      <c r="G52" s="59"/>
      <c r="H52" s="59"/>
      <c r="I52" s="59"/>
      <c r="J52" s="61"/>
      <c r="K52" s="59"/>
      <c r="M52" s="47"/>
    </row>
    <row r="53" s="46" customFormat="1" outlineLevel="1" spans="1:13">
      <c r="A53" s="59"/>
      <c r="B53" s="60" t="str">
        <f t="shared" si="5"/>
        <v>0072</v>
      </c>
      <c r="C53" s="61"/>
      <c r="D53" s="59"/>
      <c r="E53" s="59"/>
      <c r="F53" s="59"/>
      <c r="G53" s="59"/>
      <c r="H53" s="59"/>
      <c r="I53" s="59"/>
      <c r="J53" s="61"/>
      <c r="K53" s="59"/>
      <c r="M53" s="47"/>
    </row>
    <row r="54" s="46" customFormat="1" outlineLevel="1" spans="1:13">
      <c r="A54" s="59"/>
      <c r="B54" s="60" t="str">
        <f t="shared" si="5"/>
        <v>0073</v>
      </c>
      <c r="C54" s="61"/>
      <c r="D54" s="59"/>
      <c r="E54" s="59"/>
      <c r="F54" s="59"/>
      <c r="G54" s="59"/>
      <c r="H54" s="59"/>
      <c r="I54" s="59"/>
      <c r="J54" s="61"/>
      <c r="K54" s="59"/>
      <c r="M54" s="47"/>
    </row>
    <row r="55" s="46" customFormat="1" outlineLevel="1" spans="1:13">
      <c r="A55" s="59"/>
      <c r="B55" s="60" t="str">
        <f t="shared" si="5"/>
        <v>0074</v>
      </c>
      <c r="C55" s="61"/>
      <c r="D55" s="59"/>
      <c r="E55" s="59"/>
      <c r="F55" s="59"/>
      <c r="G55" s="59"/>
      <c r="H55" s="59"/>
      <c r="I55" s="59"/>
      <c r="J55" s="61"/>
      <c r="K55" s="59"/>
      <c r="M55" s="47"/>
    </row>
    <row r="56" s="46" customFormat="1" outlineLevel="1" spans="1:13">
      <c r="A56" s="59"/>
      <c r="B56" s="60" t="str">
        <f t="shared" si="5"/>
        <v>0075</v>
      </c>
      <c r="C56" s="61"/>
      <c r="D56" s="59"/>
      <c r="E56" s="59"/>
      <c r="F56" s="59"/>
      <c r="G56" s="59"/>
      <c r="H56" s="59"/>
      <c r="I56" s="59"/>
      <c r="J56" s="61"/>
      <c r="K56" s="59"/>
      <c r="M56" s="47"/>
    </row>
    <row r="57" s="46" customFormat="1" outlineLevel="1" spans="1:13">
      <c r="A57" s="59"/>
      <c r="B57" s="60" t="str">
        <f t="shared" si="5"/>
        <v>0076</v>
      </c>
      <c r="C57" s="61"/>
      <c r="D57" s="59"/>
      <c r="E57" s="59"/>
      <c r="F57" s="59"/>
      <c r="G57" s="59"/>
      <c r="H57" s="59"/>
      <c r="I57" s="59"/>
      <c r="J57" s="61"/>
      <c r="K57" s="59"/>
      <c r="M57" s="47"/>
    </row>
    <row r="58" s="46" customFormat="1" outlineLevel="1" spans="1:13">
      <c r="A58" s="59"/>
      <c r="B58" s="60" t="str">
        <f t="shared" si="5"/>
        <v>0077</v>
      </c>
      <c r="C58" s="61"/>
      <c r="D58" s="59"/>
      <c r="E58" s="59"/>
      <c r="F58" s="59"/>
      <c r="G58" s="59"/>
      <c r="H58" s="59"/>
      <c r="I58" s="59"/>
      <c r="J58" s="61"/>
      <c r="K58" s="59"/>
      <c r="M58" s="47"/>
    </row>
    <row r="59" s="46" customFormat="1" outlineLevel="1" spans="1:13">
      <c r="A59" s="59"/>
      <c r="B59" s="60" t="str">
        <f t="shared" si="5"/>
        <v>0078</v>
      </c>
      <c r="C59" s="61"/>
      <c r="D59" s="59"/>
      <c r="E59" s="59"/>
      <c r="F59" s="59"/>
      <c r="G59" s="59"/>
      <c r="H59" s="59"/>
      <c r="I59" s="59"/>
      <c r="J59" s="61"/>
      <c r="K59" s="59"/>
      <c r="M59" s="47"/>
    </row>
    <row r="60" s="46" customFormat="1" outlineLevel="1" spans="1:13">
      <c r="A60" s="59"/>
      <c r="B60" s="60" t="str">
        <f t="shared" si="5"/>
        <v>0079</v>
      </c>
      <c r="C60" s="61"/>
      <c r="D60" s="59"/>
      <c r="E60" s="59"/>
      <c r="F60" s="59"/>
      <c r="G60" s="59"/>
      <c r="H60" s="59"/>
      <c r="I60" s="59"/>
      <c r="J60" s="61"/>
      <c r="K60" s="59"/>
      <c r="M60" s="47"/>
    </row>
    <row r="61" s="46" customFormat="1" outlineLevel="1" spans="1:13">
      <c r="A61" s="59"/>
      <c r="B61" s="60" t="str">
        <f t="shared" si="5"/>
        <v>007A</v>
      </c>
      <c r="C61" s="61"/>
      <c r="D61" s="59"/>
      <c r="E61" s="59"/>
      <c r="F61" s="59"/>
      <c r="G61" s="59"/>
      <c r="H61" s="59"/>
      <c r="I61" s="59"/>
      <c r="J61" s="61"/>
      <c r="K61" s="59"/>
      <c r="M61" s="47"/>
    </row>
    <row r="62" s="46" customFormat="1" outlineLevel="1" spans="1:13">
      <c r="A62" s="59"/>
      <c r="B62" s="60" t="str">
        <f t="shared" si="5"/>
        <v>007B</v>
      </c>
      <c r="C62" s="61"/>
      <c r="D62" s="59"/>
      <c r="E62" s="59"/>
      <c r="F62" s="59"/>
      <c r="G62" s="59"/>
      <c r="H62" s="59"/>
      <c r="I62" s="59"/>
      <c r="J62" s="61"/>
      <c r="K62" s="59"/>
      <c r="M62" s="47"/>
    </row>
    <row r="63" s="46" customFormat="1" outlineLevel="1" spans="1:13">
      <c r="A63" s="59"/>
      <c r="B63" s="60" t="str">
        <f t="shared" si="5"/>
        <v>007C</v>
      </c>
      <c r="C63" s="61"/>
      <c r="D63" s="59"/>
      <c r="E63" s="59"/>
      <c r="F63" s="59"/>
      <c r="G63" s="59"/>
      <c r="H63" s="59"/>
      <c r="I63" s="59"/>
      <c r="J63" s="61"/>
      <c r="K63" s="59"/>
      <c r="M63" s="47"/>
    </row>
    <row r="64" s="46" customFormat="1" outlineLevel="1" spans="1:13">
      <c r="A64" s="59"/>
      <c r="B64" s="60" t="str">
        <f t="shared" si="5"/>
        <v>007D</v>
      </c>
      <c r="C64" s="61"/>
      <c r="D64" s="59"/>
      <c r="E64" s="59"/>
      <c r="F64" s="59"/>
      <c r="G64" s="59"/>
      <c r="H64" s="59"/>
      <c r="I64" s="59"/>
      <c r="J64" s="61"/>
      <c r="K64" s="59"/>
      <c r="M64" s="47"/>
    </row>
    <row r="65" s="46" customFormat="1" outlineLevel="1" spans="1:13">
      <c r="A65" s="59"/>
      <c r="B65" s="60" t="str">
        <f t="shared" si="5"/>
        <v>007E</v>
      </c>
      <c r="C65" s="61"/>
      <c r="D65" s="59"/>
      <c r="E65" s="59"/>
      <c r="F65" s="59"/>
      <c r="G65" s="59"/>
      <c r="H65" s="59"/>
      <c r="I65" s="59"/>
      <c r="J65" s="61"/>
      <c r="K65" s="59"/>
      <c r="M65" s="47"/>
    </row>
    <row r="66" s="46" customFormat="1" outlineLevel="1" spans="1:13">
      <c r="A66" s="59"/>
      <c r="B66" s="60" t="str">
        <f t="shared" si="5"/>
        <v>007F</v>
      </c>
      <c r="C66" s="61"/>
      <c r="D66" s="59"/>
      <c r="E66" s="59"/>
      <c r="F66" s="59"/>
      <c r="G66" s="59"/>
      <c r="H66" s="59"/>
      <c r="I66" s="59"/>
      <c r="J66" s="61"/>
      <c r="K66" s="59"/>
      <c r="M66" s="47"/>
    </row>
    <row r="67" s="46" customFormat="1" outlineLevel="1" spans="1:13">
      <c r="A67" s="59"/>
      <c r="B67" s="60"/>
      <c r="C67" s="61"/>
      <c r="D67" s="59"/>
      <c r="E67" s="59"/>
      <c r="F67" s="59"/>
      <c r="G67" s="59"/>
      <c r="H67" s="59"/>
      <c r="I67" s="59"/>
      <c r="J67" s="61"/>
      <c r="K67" s="59"/>
      <c r="M67" s="47"/>
    </row>
    <row r="68" s="46" customFormat="1" spans="1:13">
      <c r="A68" s="59"/>
      <c r="B68" s="60"/>
      <c r="C68" s="61"/>
      <c r="D68" s="59"/>
      <c r="E68" s="59"/>
      <c r="F68" s="59"/>
      <c r="G68" s="59"/>
      <c r="H68" s="59"/>
      <c r="I68" s="59"/>
      <c r="J68" s="61"/>
      <c r="K68" s="59"/>
      <c r="M68" s="47"/>
    </row>
    <row r="69" spans="1:13">
      <c r="A69" s="65" t="s">
        <v>85</v>
      </c>
      <c r="B69" s="65"/>
      <c r="C69" s="65"/>
      <c r="D69" s="65"/>
      <c r="E69" s="65"/>
      <c r="F69" s="65"/>
      <c r="G69" s="65"/>
      <c r="H69" s="65"/>
      <c r="I69" s="65"/>
      <c r="J69" s="65"/>
      <c r="K69" s="65"/>
      <c r="M69" s="70"/>
    </row>
    <row r="70" spans="1:13">
      <c r="A70" s="66" t="s">
        <v>86</v>
      </c>
      <c r="B70" s="66"/>
      <c r="C70" s="66"/>
      <c r="D70" s="66"/>
      <c r="E70" s="66"/>
      <c r="F70" s="66"/>
      <c r="G70" s="66"/>
      <c r="H70" s="66"/>
      <c r="I70" s="66"/>
      <c r="J70" s="66"/>
      <c r="K70" s="66"/>
      <c r="M70" s="70"/>
    </row>
    <row r="71" s="47" customFormat="1" outlineLevel="1" spans="1:13">
      <c r="A71" s="59"/>
      <c r="B71" s="60" t="str">
        <f>DEC2HEX(1024+ROW()-ROW($B$71),4)</f>
        <v>0400</v>
      </c>
      <c r="C71" s="61" t="s">
        <v>87</v>
      </c>
      <c r="D71" s="59" t="s">
        <v>59</v>
      </c>
      <c r="E71" s="59"/>
      <c r="F71" s="59"/>
      <c r="G71" s="59"/>
      <c r="H71" s="59"/>
      <c r="I71" s="59" t="s">
        <v>38</v>
      </c>
      <c r="J71" s="63" t="s">
        <v>60</v>
      </c>
      <c r="K71" s="64" t="s">
        <v>61</v>
      </c>
      <c r="M71" s="71"/>
    </row>
    <row r="72" s="47" customFormat="1" outlineLevel="1" spans="1:13">
      <c r="A72" s="59"/>
      <c r="B72" s="60" t="str">
        <f t="shared" ref="B72:B136" si="6">DEC2HEX(1024+ROW()-ROW($B$71),4)</f>
        <v>0401</v>
      </c>
      <c r="C72" s="61"/>
      <c r="D72" s="59"/>
      <c r="E72" s="59"/>
      <c r="F72" s="59"/>
      <c r="G72" s="59"/>
      <c r="H72" s="59"/>
      <c r="I72" s="59"/>
      <c r="J72" s="63"/>
      <c r="K72" s="64" t="s">
        <v>61</v>
      </c>
      <c r="M72" s="71"/>
    </row>
    <row r="73" s="47" customFormat="1" outlineLevel="1" spans="1:11">
      <c r="A73" s="59"/>
      <c r="B73" s="60" t="str">
        <f t="shared" si="6"/>
        <v>0402</v>
      </c>
      <c r="C73" s="61"/>
      <c r="D73" s="59"/>
      <c r="E73" s="59"/>
      <c r="F73" s="59"/>
      <c r="G73" s="59"/>
      <c r="H73" s="59"/>
      <c r="I73" s="59"/>
      <c r="J73" s="63"/>
      <c r="K73" s="64" t="s">
        <v>61</v>
      </c>
    </row>
    <row r="74" s="47" customFormat="1" outlineLevel="1" spans="1:11">
      <c r="A74" s="59"/>
      <c r="B74" s="60" t="str">
        <f t="shared" si="6"/>
        <v>0403</v>
      </c>
      <c r="C74" s="61"/>
      <c r="D74" s="59"/>
      <c r="E74" s="59"/>
      <c r="F74" s="59"/>
      <c r="G74" s="59"/>
      <c r="H74" s="59"/>
      <c r="I74" s="59"/>
      <c r="J74" s="63"/>
      <c r="K74" s="64" t="s">
        <v>61</v>
      </c>
    </row>
    <row r="75" ht="128.25" outlineLevel="1" spans="1:11">
      <c r="A75" s="24"/>
      <c r="B75" s="60" t="str">
        <f t="shared" si="6"/>
        <v>0404</v>
      </c>
      <c r="C75" s="67" t="s">
        <v>88</v>
      </c>
      <c r="D75" s="24" t="s">
        <v>89</v>
      </c>
      <c r="E75" s="24"/>
      <c r="F75" s="24"/>
      <c r="G75" s="24"/>
      <c r="H75" s="24"/>
      <c r="I75" s="24" t="s">
        <v>38</v>
      </c>
      <c r="J75" s="67" t="s">
        <v>90</v>
      </c>
      <c r="K75" s="64" t="s">
        <v>61</v>
      </c>
    </row>
    <row r="76" outlineLevel="1" spans="1:11">
      <c r="A76" s="24"/>
      <c r="B76" s="60" t="str">
        <f t="shared" si="6"/>
        <v>0405</v>
      </c>
      <c r="C76" s="67" t="s">
        <v>91</v>
      </c>
      <c r="D76" s="24" t="s">
        <v>89</v>
      </c>
      <c r="E76" s="24"/>
      <c r="F76" s="24"/>
      <c r="G76" s="24"/>
      <c r="H76" s="24"/>
      <c r="I76" s="24" t="s">
        <v>38</v>
      </c>
      <c r="J76" s="72" t="s">
        <v>92</v>
      </c>
      <c r="K76" s="64" t="s">
        <v>61</v>
      </c>
    </row>
    <row r="77" outlineLevel="1" spans="1:11">
      <c r="A77" s="24"/>
      <c r="B77" s="60" t="str">
        <f t="shared" si="6"/>
        <v>0406</v>
      </c>
      <c r="C77" s="67" t="s">
        <v>93</v>
      </c>
      <c r="D77" s="24" t="s">
        <v>89</v>
      </c>
      <c r="E77" s="24"/>
      <c r="F77" s="24"/>
      <c r="G77" s="24"/>
      <c r="H77" s="24"/>
      <c r="I77" s="24" t="s">
        <v>38</v>
      </c>
      <c r="J77" s="72" t="s">
        <v>94</v>
      </c>
      <c r="K77" s="64" t="s">
        <v>61</v>
      </c>
    </row>
    <row r="78" outlineLevel="1" spans="1:11">
      <c r="A78" s="24"/>
      <c r="B78" s="60" t="str">
        <f t="shared" si="6"/>
        <v>0407</v>
      </c>
      <c r="C78" s="67" t="s">
        <v>95</v>
      </c>
      <c r="D78" s="24" t="s">
        <v>89</v>
      </c>
      <c r="E78" s="24"/>
      <c r="F78" s="24"/>
      <c r="G78" s="24"/>
      <c r="H78" s="24"/>
      <c r="I78" s="24" t="s">
        <v>38</v>
      </c>
      <c r="J78" s="72" t="s">
        <v>96</v>
      </c>
      <c r="K78" s="64" t="s">
        <v>61</v>
      </c>
    </row>
    <row r="79" outlineLevel="1" spans="1:11">
      <c r="A79" s="24"/>
      <c r="B79" s="60" t="str">
        <f t="shared" si="6"/>
        <v>0408</v>
      </c>
      <c r="C79" s="67" t="s">
        <v>97</v>
      </c>
      <c r="D79" s="24" t="s">
        <v>89</v>
      </c>
      <c r="E79" s="24"/>
      <c r="F79" s="24"/>
      <c r="G79" s="24"/>
      <c r="H79" s="24"/>
      <c r="I79" s="24" t="s">
        <v>38</v>
      </c>
      <c r="J79" s="72" t="s">
        <v>98</v>
      </c>
      <c r="K79" s="64" t="s">
        <v>61</v>
      </c>
    </row>
    <row r="80" outlineLevel="1" spans="1:11">
      <c r="A80" s="24"/>
      <c r="B80" s="60" t="str">
        <f t="shared" si="6"/>
        <v>0409</v>
      </c>
      <c r="C80" s="67" t="s">
        <v>99</v>
      </c>
      <c r="D80" s="24" t="s">
        <v>89</v>
      </c>
      <c r="E80" s="24"/>
      <c r="F80" s="24"/>
      <c r="G80" s="24"/>
      <c r="H80" s="24"/>
      <c r="I80" s="24" t="s">
        <v>38</v>
      </c>
      <c r="J80" s="72" t="s">
        <v>100</v>
      </c>
      <c r="K80" s="64" t="s">
        <v>61</v>
      </c>
    </row>
    <row r="81" outlineLevel="1" spans="1:11">
      <c r="A81" s="24"/>
      <c r="B81" s="60" t="str">
        <f t="shared" si="6"/>
        <v>040A</v>
      </c>
      <c r="C81" s="67" t="s">
        <v>101</v>
      </c>
      <c r="D81" s="24" t="s">
        <v>89</v>
      </c>
      <c r="E81" s="24"/>
      <c r="F81" s="24"/>
      <c r="G81" s="24"/>
      <c r="H81" s="24"/>
      <c r="I81" s="24" t="s">
        <v>38</v>
      </c>
      <c r="J81" s="72" t="s">
        <v>102</v>
      </c>
      <c r="K81" s="64" t="s">
        <v>61</v>
      </c>
    </row>
    <row r="82" outlineLevel="1" spans="1:11">
      <c r="A82" s="24"/>
      <c r="B82" s="60" t="str">
        <f t="shared" si="6"/>
        <v>040B</v>
      </c>
      <c r="C82" s="67" t="s">
        <v>103</v>
      </c>
      <c r="D82" s="24" t="s">
        <v>89</v>
      </c>
      <c r="E82" s="24"/>
      <c r="F82" s="24"/>
      <c r="G82" s="24"/>
      <c r="H82" s="24"/>
      <c r="I82" s="24" t="s">
        <v>38</v>
      </c>
      <c r="J82" s="72" t="s">
        <v>104</v>
      </c>
      <c r="K82" s="64" t="s">
        <v>61</v>
      </c>
    </row>
    <row r="83" outlineLevel="1" spans="1:11">
      <c r="A83" s="24"/>
      <c r="B83" s="60" t="str">
        <f t="shared" si="6"/>
        <v>040C</v>
      </c>
      <c r="C83" s="67" t="s">
        <v>105</v>
      </c>
      <c r="D83" s="24" t="s">
        <v>89</v>
      </c>
      <c r="E83" s="24"/>
      <c r="F83" s="24"/>
      <c r="G83" s="24"/>
      <c r="H83" s="24"/>
      <c r="I83" s="24" t="s">
        <v>38</v>
      </c>
      <c r="J83" s="72" t="s">
        <v>106</v>
      </c>
      <c r="K83" s="64" t="s">
        <v>61</v>
      </c>
    </row>
    <row r="84" outlineLevel="1" spans="1:11">
      <c r="A84" s="24"/>
      <c r="B84" s="60" t="str">
        <f t="shared" si="6"/>
        <v>040D</v>
      </c>
      <c r="C84" s="67" t="s">
        <v>107</v>
      </c>
      <c r="D84" s="24" t="s">
        <v>89</v>
      </c>
      <c r="E84" s="24"/>
      <c r="F84" s="24"/>
      <c r="G84" s="24"/>
      <c r="H84" s="24"/>
      <c r="I84" s="24" t="s">
        <v>38</v>
      </c>
      <c r="J84" s="72" t="s">
        <v>108</v>
      </c>
      <c r="K84" s="64" t="s">
        <v>61</v>
      </c>
    </row>
    <row r="85" outlineLevel="1" spans="1:11">
      <c r="A85" s="24"/>
      <c r="B85" s="60" t="str">
        <f t="shared" si="6"/>
        <v>040E</v>
      </c>
      <c r="C85" s="67" t="s">
        <v>109</v>
      </c>
      <c r="D85" s="24" t="s">
        <v>89</v>
      </c>
      <c r="E85" s="24"/>
      <c r="F85" s="24"/>
      <c r="G85" s="24"/>
      <c r="H85" s="24"/>
      <c r="I85" s="24" t="s">
        <v>38</v>
      </c>
      <c r="J85" s="72" t="s">
        <v>110</v>
      </c>
      <c r="K85" s="64" t="s">
        <v>61</v>
      </c>
    </row>
    <row r="86" outlineLevel="1" spans="1:11">
      <c r="A86" s="24"/>
      <c r="B86" s="60" t="str">
        <f t="shared" si="6"/>
        <v>040F</v>
      </c>
      <c r="C86" s="67" t="s">
        <v>111</v>
      </c>
      <c r="D86" s="24" t="s">
        <v>89</v>
      </c>
      <c r="E86" s="24"/>
      <c r="F86" s="24"/>
      <c r="G86" s="24"/>
      <c r="H86" s="24"/>
      <c r="I86" s="24" t="s">
        <v>38</v>
      </c>
      <c r="J86" s="72" t="s">
        <v>112</v>
      </c>
      <c r="K86" s="64" t="s">
        <v>61</v>
      </c>
    </row>
    <row r="87" outlineLevel="1" spans="1:11">
      <c r="A87" s="24"/>
      <c r="B87" s="60" t="str">
        <f t="shared" si="6"/>
        <v>0410</v>
      </c>
      <c r="C87" s="67" t="s">
        <v>113</v>
      </c>
      <c r="D87" s="24" t="s">
        <v>89</v>
      </c>
      <c r="E87" s="24"/>
      <c r="F87" s="24"/>
      <c r="G87" s="24"/>
      <c r="H87" s="24"/>
      <c r="I87" s="24" t="s">
        <v>38</v>
      </c>
      <c r="J87" s="72" t="s">
        <v>114</v>
      </c>
      <c r="K87" s="64" t="s">
        <v>61</v>
      </c>
    </row>
    <row r="88" outlineLevel="1" spans="1:11">
      <c r="A88" s="24"/>
      <c r="B88" s="60" t="str">
        <f t="shared" si="6"/>
        <v>0411</v>
      </c>
      <c r="C88" s="67" t="s">
        <v>115</v>
      </c>
      <c r="D88" s="24" t="s">
        <v>89</v>
      </c>
      <c r="E88" s="24"/>
      <c r="F88" s="24"/>
      <c r="G88" s="24"/>
      <c r="H88" s="24"/>
      <c r="I88" s="24" t="s">
        <v>38</v>
      </c>
      <c r="J88" s="72" t="s">
        <v>116</v>
      </c>
      <c r="K88" s="64" t="s">
        <v>61</v>
      </c>
    </row>
    <row r="89" outlineLevel="1" spans="1:11">
      <c r="A89" s="24"/>
      <c r="B89" s="60" t="str">
        <f t="shared" si="6"/>
        <v>0412</v>
      </c>
      <c r="C89" s="67" t="s">
        <v>117</v>
      </c>
      <c r="D89" s="24" t="s">
        <v>89</v>
      </c>
      <c r="E89" s="24"/>
      <c r="F89" s="24"/>
      <c r="G89" s="24"/>
      <c r="H89" s="24"/>
      <c r="I89" s="24" t="s">
        <v>38</v>
      </c>
      <c r="J89" s="72" t="s">
        <v>118</v>
      </c>
      <c r="K89" s="64" t="s">
        <v>61</v>
      </c>
    </row>
    <row r="90" outlineLevel="1" spans="1:11">
      <c r="A90" s="24"/>
      <c r="B90" s="60" t="str">
        <f t="shared" si="6"/>
        <v>0413</v>
      </c>
      <c r="C90" s="67" t="s">
        <v>119</v>
      </c>
      <c r="D90" s="24" t="s">
        <v>89</v>
      </c>
      <c r="E90" s="24"/>
      <c r="F90" s="24"/>
      <c r="G90" s="24"/>
      <c r="H90" s="24"/>
      <c r="I90" s="24" t="s">
        <v>38</v>
      </c>
      <c r="J90" s="72" t="s">
        <v>120</v>
      </c>
      <c r="K90" s="64" t="s">
        <v>61</v>
      </c>
    </row>
    <row r="91" outlineLevel="1" spans="1:11">
      <c r="A91" s="24"/>
      <c r="B91" s="60" t="str">
        <f t="shared" si="6"/>
        <v>0414</v>
      </c>
      <c r="C91" s="67" t="s">
        <v>121</v>
      </c>
      <c r="D91" s="24" t="s">
        <v>89</v>
      </c>
      <c r="E91" s="24"/>
      <c r="F91" s="24"/>
      <c r="G91" s="24"/>
      <c r="H91" s="24"/>
      <c r="I91" s="24" t="s">
        <v>38</v>
      </c>
      <c r="J91" s="72" t="s">
        <v>122</v>
      </c>
      <c r="K91" s="64" t="s">
        <v>61</v>
      </c>
    </row>
    <row r="92" outlineLevel="1" spans="1:11">
      <c r="A92" s="24"/>
      <c r="B92" s="60" t="str">
        <f t="shared" si="6"/>
        <v>0415</v>
      </c>
      <c r="C92" s="67" t="s">
        <v>123</v>
      </c>
      <c r="D92" s="24" t="s">
        <v>89</v>
      </c>
      <c r="E92" s="24"/>
      <c r="F92" s="24"/>
      <c r="G92" s="24"/>
      <c r="H92" s="24"/>
      <c r="I92" s="24" t="s">
        <v>38</v>
      </c>
      <c r="J92" s="72" t="s">
        <v>124</v>
      </c>
      <c r="K92" s="64" t="s">
        <v>61</v>
      </c>
    </row>
    <row r="93" outlineLevel="1" spans="1:11">
      <c r="A93" s="24"/>
      <c r="B93" s="60" t="str">
        <f t="shared" si="6"/>
        <v>0416</v>
      </c>
      <c r="C93" s="67" t="s">
        <v>125</v>
      </c>
      <c r="D93" s="24" t="s">
        <v>89</v>
      </c>
      <c r="E93" s="24"/>
      <c r="F93" s="24"/>
      <c r="G93" s="24"/>
      <c r="H93" s="24"/>
      <c r="I93" s="24" t="s">
        <v>38</v>
      </c>
      <c r="J93" s="72" t="s">
        <v>126</v>
      </c>
      <c r="K93" s="64" t="s">
        <v>61</v>
      </c>
    </row>
    <row r="94" outlineLevel="1" spans="1:11">
      <c r="A94" s="24"/>
      <c r="B94" s="60" t="str">
        <f t="shared" si="6"/>
        <v>0417</v>
      </c>
      <c r="C94" s="67" t="s">
        <v>127</v>
      </c>
      <c r="D94" s="24" t="s">
        <v>89</v>
      </c>
      <c r="E94" s="24">
        <v>1</v>
      </c>
      <c r="F94" s="68" t="s">
        <v>128</v>
      </c>
      <c r="G94" s="24"/>
      <c r="H94" s="24"/>
      <c r="I94" s="24" t="s">
        <v>38</v>
      </c>
      <c r="J94" s="72" t="s">
        <v>129</v>
      </c>
      <c r="K94" s="64" t="s">
        <v>61</v>
      </c>
    </row>
    <row r="95" outlineLevel="1" spans="1:11">
      <c r="A95" s="24"/>
      <c r="B95" s="60" t="str">
        <f t="shared" si="6"/>
        <v>0418</v>
      </c>
      <c r="C95" s="67" t="s">
        <v>130</v>
      </c>
      <c r="D95" s="24" t="s">
        <v>131</v>
      </c>
      <c r="E95" s="24">
        <v>1</v>
      </c>
      <c r="F95" s="24" t="s">
        <v>132</v>
      </c>
      <c r="G95" s="24"/>
      <c r="H95" s="24"/>
      <c r="I95" s="24" t="s">
        <v>38</v>
      </c>
      <c r="J95" s="72" t="s">
        <v>133</v>
      </c>
      <c r="K95" s="64" t="s">
        <v>61</v>
      </c>
    </row>
    <row r="96" outlineLevel="1" spans="1:11">
      <c r="A96" s="24"/>
      <c r="B96" s="60" t="str">
        <f t="shared" si="6"/>
        <v>0419</v>
      </c>
      <c r="C96" s="67" t="s">
        <v>134</v>
      </c>
      <c r="D96" s="24" t="s">
        <v>131</v>
      </c>
      <c r="E96" s="24">
        <v>1</v>
      </c>
      <c r="F96" s="24" t="s">
        <v>132</v>
      </c>
      <c r="G96" s="24"/>
      <c r="H96" s="24"/>
      <c r="I96" s="24" t="s">
        <v>38</v>
      </c>
      <c r="J96" s="72" t="s">
        <v>135</v>
      </c>
      <c r="K96" s="64" t="s">
        <v>61</v>
      </c>
    </row>
    <row r="97" outlineLevel="1" spans="1:11">
      <c r="A97" s="24"/>
      <c r="B97" s="60" t="str">
        <f t="shared" si="6"/>
        <v>041A</v>
      </c>
      <c r="C97" s="67" t="s">
        <v>136</v>
      </c>
      <c r="D97" s="24" t="s">
        <v>131</v>
      </c>
      <c r="E97" s="24">
        <v>1</v>
      </c>
      <c r="F97" s="24" t="s">
        <v>132</v>
      </c>
      <c r="G97" s="24"/>
      <c r="H97" s="24"/>
      <c r="I97" s="24" t="s">
        <v>38</v>
      </c>
      <c r="J97" s="72" t="s">
        <v>137</v>
      </c>
      <c r="K97" s="64" t="s">
        <v>61</v>
      </c>
    </row>
    <row r="98" outlineLevel="1" spans="1:11">
      <c r="A98" s="24"/>
      <c r="B98" s="60" t="str">
        <f t="shared" si="6"/>
        <v>041B</v>
      </c>
      <c r="C98" s="67" t="s">
        <v>138</v>
      </c>
      <c r="D98" s="24" t="s">
        <v>131</v>
      </c>
      <c r="E98" s="24">
        <v>1</v>
      </c>
      <c r="F98" s="24" t="s">
        <v>132</v>
      </c>
      <c r="G98" s="24"/>
      <c r="H98" s="24"/>
      <c r="I98" s="24" t="s">
        <v>38</v>
      </c>
      <c r="J98" s="72" t="s">
        <v>139</v>
      </c>
      <c r="K98" s="64" t="s">
        <v>61</v>
      </c>
    </row>
    <row r="99" outlineLevel="1" spans="1:11">
      <c r="A99" s="24"/>
      <c r="B99" s="60" t="str">
        <f t="shared" si="6"/>
        <v>041C</v>
      </c>
      <c r="C99" s="67" t="s">
        <v>140</v>
      </c>
      <c r="D99" s="24" t="s">
        <v>131</v>
      </c>
      <c r="E99" s="24">
        <v>1</v>
      </c>
      <c r="F99" s="24" t="s">
        <v>132</v>
      </c>
      <c r="G99" s="24"/>
      <c r="H99" s="24"/>
      <c r="I99" s="24" t="s">
        <v>38</v>
      </c>
      <c r="J99" s="72" t="s">
        <v>141</v>
      </c>
      <c r="K99" s="64" t="s">
        <v>61</v>
      </c>
    </row>
    <row r="100" outlineLevel="1" spans="1:11">
      <c r="A100" s="24"/>
      <c r="B100" s="60" t="str">
        <f t="shared" si="6"/>
        <v>041D</v>
      </c>
      <c r="C100" s="67" t="s">
        <v>142</v>
      </c>
      <c r="D100" s="24" t="s">
        <v>131</v>
      </c>
      <c r="E100" s="24">
        <v>1</v>
      </c>
      <c r="F100" s="24" t="s">
        <v>132</v>
      </c>
      <c r="G100" s="24"/>
      <c r="H100" s="24"/>
      <c r="I100" s="24" t="s">
        <v>38</v>
      </c>
      <c r="J100" s="72" t="s">
        <v>143</v>
      </c>
      <c r="K100" s="64" t="s">
        <v>61</v>
      </c>
    </row>
    <row r="101" outlineLevel="1" spans="1:11">
      <c r="A101" s="24"/>
      <c r="B101" s="60" t="str">
        <f t="shared" si="6"/>
        <v>041E</v>
      </c>
      <c r="C101" s="67" t="s">
        <v>144</v>
      </c>
      <c r="D101" s="24" t="s">
        <v>131</v>
      </c>
      <c r="E101" s="24">
        <v>1</v>
      </c>
      <c r="F101" s="24" t="s">
        <v>132</v>
      </c>
      <c r="G101" s="24"/>
      <c r="H101" s="24"/>
      <c r="I101" s="24" t="s">
        <v>38</v>
      </c>
      <c r="J101" s="72" t="s">
        <v>145</v>
      </c>
      <c r="K101" s="64" t="s">
        <v>61</v>
      </c>
    </row>
    <row r="102" outlineLevel="1" spans="1:11">
      <c r="A102" s="24"/>
      <c r="B102" s="60" t="str">
        <f t="shared" si="6"/>
        <v>041F</v>
      </c>
      <c r="C102" s="67" t="s">
        <v>146</v>
      </c>
      <c r="D102" s="24" t="s">
        <v>131</v>
      </c>
      <c r="E102" s="24">
        <v>1</v>
      </c>
      <c r="F102" s="24" t="s">
        <v>132</v>
      </c>
      <c r="G102" s="24"/>
      <c r="H102" s="24"/>
      <c r="I102" s="24" t="s">
        <v>38</v>
      </c>
      <c r="J102" s="72" t="s">
        <v>147</v>
      </c>
      <c r="K102" s="64" t="s">
        <v>61</v>
      </c>
    </row>
    <row r="103" outlineLevel="1" spans="1:11">
      <c r="A103" s="24"/>
      <c r="B103" s="60" t="str">
        <f t="shared" si="6"/>
        <v>0420</v>
      </c>
      <c r="C103" s="67" t="s">
        <v>148</v>
      </c>
      <c r="D103" s="24" t="s">
        <v>131</v>
      </c>
      <c r="E103" s="24">
        <v>1</v>
      </c>
      <c r="F103" s="24" t="s">
        <v>132</v>
      </c>
      <c r="G103" s="24"/>
      <c r="H103" s="24"/>
      <c r="I103" s="24" t="s">
        <v>38</v>
      </c>
      <c r="J103" s="72" t="s">
        <v>149</v>
      </c>
      <c r="K103" s="64" t="s">
        <v>61</v>
      </c>
    </row>
    <row r="104" outlineLevel="1" spans="1:11">
      <c r="A104" s="24"/>
      <c r="B104" s="60" t="str">
        <f t="shared" si="6"/>
        <v>0421</v>
      </c>
      <c r="C104" s="67" t="s">
        <v>150</v>
      </c>
      <c r="D104" s="24" t="s">
        <v>131</v>
      </c>
      <c r="E104" s="24">
        <v>1</v>
      </c>
      <c r="F104" s="24" t="s">
        <v>132</v>
      </c>
      <c r="G104" s="24"/>
      <c r="H104" s="24"/>
      <c r="I104" s="24" t="s">
        <v>38</v>
      </c>
      <c r="J104" s="72" t="s">
        <v>151</v>
      </c>
      <c r="K104" s="64" t="s">
        <v>61</v>
      </c>
    </row>
    <row r="105" outlineLevel="1" spans="1:11">
      <c r="A105" s="24"/>
      <c r="B105" s="60" t="str">
        <f t="shared" si="6"/>
        <v>0422</v>
      </c>
      <c r="C105" s="67" t="s">
        <v>152</v>
      </c>
      <c r="D105" s="24" t="s">
        <v>131</v>
      </c>
      <c r="E105" s="24">
        <v>1</v>
      </c>
      <c r="F105" s="24" t="s">
        <v>132</v>
      </c>
      <c r="G105" s="24"/>
      <c r="H105" s="24"/>
      <c r="I105" s="24" t="s">
        <v>38</v>
      </c>
      <c r="J105" s="72" t="s">
        <v>153</v>
      </c>
      <c r="K105" s="64" t="s">
        <v>61</v>
      </c>
    </row>
    <row r="106" outlineLevel="1" spans="1:11">
      <c r="A106" s="24"/>
      <c r="B106" s="60" t="str">
        <f t="shared" si="6"/>
        <v>0423</v>
      </c>
      <c r="C106" s="69" t="s">
        <v>154</v>
      </c>
      <c r="D106" s="24" t="s">
        <v>131</v>
      </c>
      <c r="E106" s="24">
        <v>1</v>
      </c>
      <c r="F106" s="24" t="s">
        <v>132</v>
      </c>
      <c r="G106" s="24"/>
      <c r="H106" s="24"/>
      <c r="I106" s="24" t="s">
        <v>38</v>
      </c>
      <c r="J106" s="72" t="s">
        <v>155</v>
      </c>
      <c r="K106" s="64" t="s">
        <v>61</v>
      </c>
    </row>
    <row r="107" outlineLevel="1" spans="1:11">
      <c r="A107" s="24"/>
      <c r="B107" s="60" t="str">
        <f t="shared" si="6"/>
        <v>0424</v>
      </c>
      <c r="C107" s="69" t="s">
        <v>156</v>
      </c>
      <c r="D107" s="24" t="s">
        <v>131</v>
      </c>
      <c r="E107" s="24">
        <v>1</v>
      </c>
      <c r="F107" s="24" t="s">
        <v>132</v>
      </c>
      <c r="G107" s="24"/>
      <c r="H107" s="24"/>
      <c r="I107" s="24" t="s">
        <v>38</v>
      </c>
      <c r="J107" s="72" t="s">
        <v>157</v>
      </c>
      <c r="K107" s="64" t="s">
        <v>61</v>
      </c>
    </row>
    <row r="108" outlineLevel="1" spans="1:11">
      <c r="A108" s="24"/>
      <c r="B108" s="60" t="str">
        <f t="shared" si="6"/>
        <v>0425</v>
      </c>
      <c r="C108" s="69" t="s">
        <v>158</v>
      </c>
      <c r="D108" s="24" t="s">
        <v>131</v>
      </c>
      <c r="E108" s="24">
        <v>1</v>
      </c>
      <c r="F108" s="24" t="s">
        <v>132</v>
      </c>
      <c r="G108" s="24"/>
      <c r="H108" s="24"/>
      <c r="I108" s="24" t="s">
        <v>38</v>
      </c>
      <c r="J108" s="72" t="s">
        <v>159</v>
      </c>
      <c r="K108" s="64" t="s">
        <v>61</v>
      </c>
    </row>
    <row r="109" outlineLevel="1" spans="1:11">
      <c r="A109" s="24"/>
      <c r="B109" s="60" t="str">
        <f t="shared" si="6"/>
        <v>0426</v>
      </c>
      <c r="C109" s="67" t="s">
        <v>160</v>
      </c>
      <c r="D109" s="24" t="s">
        <v>89</v>
      </c>
      <c r="E109" s="24">
        <v>1</v>
      </c>
      <c r="F109" s="68" t="s">
        <v>161</v>
      </c>
      <c r="G109" s="24"/>
      <c r="H109" s="24"/>
      <c r="I109" s="24" t="s">
        <v>38</v>
      </c>
      <c r="J109" s="72" t="s">
        <v>162</v>
      </c>
      <c r="K109" s="64" t="s">
        <v>61</v>
      </c>
    </row>
    <row r="110" outlineLevel="1" spans="1:11">
      <c r="A110" s="24"/>
      <c r="B110" s="60" t="str">
        <f t="shared" si="6"/>
        <v>0427</v>
      </c>
      <c r="C110" s="67" t="s">
        <v>163</v>
      </c>
      <c r="D110" s="24" t="s">
        <v>164</v>
      </c>
      <c r="E110" s="24">
        <v>1</v>
      </c>
      <c r="F110" s="68" t="s">
        <v>161</v>
      </c>
      <c r="G110" s="30"/>
      <c r="H110" s="30"/>
      <c r="I110" s="24" t="s">
        <v>38</v>
      </c>
      <c r="J110" s="73" t="s">
        <v>165</v>
      </c>
      <c r="K110" s="64" t="s">
        <v>61</v>
      </c>
    </row>
    <row r="111" outlineLevel="1" spans="1:11">
      <c r="A111" s="24"/>
      <c r="B111" s="60" t="str">
        <f t="shared" si="6"/>
        <v>0428</v>
      </c>
      <c r="C111" s="67"/>
      <c r="D111" s="24"/>
      <c r="E111" s="24"/>
      <c r="F111" s="68"/>
      <c r="G111" s="33"/>
      <c r="H111" s="33"/>
      <c r="I111" s="24"/>
      <c r="J111" s="74"/>
      <c r="K111" s="64"/>
    </row>
    <row r="112" outlineLevel="1" spans="1:11">
      <c r="A112" s="24"/>
      <c r="B112" s="60" t="str">
        <f t="shared" si="6"/>
        <v>0429</v>
      </c>
      <c r="C112" s="67" t="s">
        <v>166</v>
      </c>
      <c r="D112" s="24" t="s">
        <v>164</v>
      </c>
      <c r="E112" s="24">
        <v>1</v>
      </c>
      <c r="F112" s="68" t="s">
        <v>161</v>
      </c>
      <c r="G112" s="30"/>
      <c r="H112" s="30"/>
      <c r="I112" s="24" t="s">
        <v>38</v>
      </c>
      <c r="J112" s="73" t="s">
        <v>167</v>
      </c>
      <c r="K112" s="64" t="s">
        <v>61</v>
      </c>
    </row>
    <row r="113" outlineLevel="1" spans="1:11">
      <c r="A113" s="24"/>
      <c r="B113" s="60" t="str">
        <f t="shared" si="6"/>
        <v>042A</v>
      </c>
      <c r="C113" s="67"/>
      <c r="D113" s="24"/>
      <c r="E113" s="24"/>
      <c r="F113" s="68"/>
      <c r="G113" s="33"/>
      <c r="H113" s="33"/>
      <c r="I113" s="24"/>
      <c r="J113" s="74"/>
      <c r="K113" s="64"/>
    </row>
    <row r="114" outlineLevel="1" spans="1:11">
      <c r="A114" s="24"/>
      <c r="B114" s="60" t="str">
        <f t="shared" si="6"/>
        <v>042B</v>
      </c>
      <c r="C114" s="67" t="s">
        <v>168</v>
      </c>
      <c r="D114" s="24" t="s">
        <v>89</v>
      </c>
      <c r="E114" s="24">
        <v>1</v>
      </c>
      <c r="F114" s="24" t="s">
        <v>169</v>
      </c>
      <c r="G114" s="24"/>
      <c r="H114" s="24"/>
      <c r="I114" s="24" t="s">
        <v>38</v>
      </c>
      <c r="J114" s="72" t="s">
        <v>170</v>
      </c>
      <c r="K114" s="64" t="s">
        <v>61</v>
      </c>
    </row>
    <row r="115" outlineLevel="1" spans="1:11">
      <c r="A115" s="24"/>
      <c r="B115" s="60" t="str">
        <f t="shared" si="6"/>
        <v>042C</v>
      </c>
      <c r="C115" s="67" t="s">
        <v>171</v>
      </c>
      <c r="D115" s="24" t="s">
        <v>89</v>
      </c>
      <c r="E115" s="24"/>
      <c r="F115" s="24"/>
      <c r="G115" s="24"/>
      <c r="H115" s="24"/>
      <c r="I115" s="24" t="s">
        <v>38</v>
      </c>
      <c r="J115" s="72" t="s">
        <v>172</v>
      </c>
      <c r="K115" s="64" t="s">
        <v>61</v>
      </c>
    </row>
    <row r="116" outlineLevel="1" spans="1:11">
      <c r="A116" s="24"/>
      <c r="B116" s="60" t="str">
        <f t="shared" si="6"/>
        <v>042D</v>
      </c>
      <c r="C116" s="67" t="s">
        <v>173</v>
      </c>
      <c r="D116" s="24" t="s">
        <v>89</v>
      </c>
      <c r="E116" s="24"/>
      <c r="F116" s="24"/>
      <c r="G116" s="24"/>
      <c r="H116" s="24"/>
      <c r="I116" s="24" t="s">
        <v>38</v>
      </c>
      <c r="J116" s="72" t="s">
        <v>174</v>
      </c>
      <c r="K116" s="64" t="s">
        <v>61</v>
      </c>
    </row>
    <row r="117" outlineLevel="1" spans="1:11">
      <c r="A117" s="24"/>
      <c r="B117" s="60" t="str">
        <f t="shared" si="6"/>
        <v>042E</v>
      </c>
      <c r="C117" s="67" t="s">
        <v>175</v>
      </c>
      <c r="D117" s="24" t="s">
        <v>89</v>
      </c>
      <c r="E117" s="24"/>
      <c r="F117" s="24"/>
      <c r="G117" s="24"/>
      <c r="H117" s="24"/>
      <c r="I117" s="24" t="s">
        <v>38</v>
      </c>
      <c r="J117" s="72" t="s">
        <v>176</v>
      </c>
      <c r="K117" s="64" t="s">
        <v>61</v>
      </c>
    </row>
    <row r="118" outlineLevel="1" spans="1:11">
      <c r="A118" s="24"/>
      <c r="B118" s="60" t="str">
        <f t="shared" si="6"/>
        <v>042F</v>
      </c>
      <c r="C118" s="67" t="s">
        <v>177</v>
      </c>
      <c r="D118" s="24" t="s">
        <v>89</v>
      </c>
      <c r="E118" s="24"/>
      <c r="F118" s="24"/>
      <c r="G118" s="24"/>
      <c r="H118" s="24"/>
      <c r="I118" s="24" t="s">
        <v>38</v>
      </c>
      <c r="J118" s="72" t="s">
        <v>178</v>
      </c>
      <c r="K118" s="64" t="s">
        <v>61</v>
      </c>
    </row>
    <row r="119" outlineLevel="1" spans="1:11">
      <c r="A119" s="24"/>
      <c r="B119" s="60" t="str">
        <f t="shared" si="6"/>
        <v>0430</v>
      </c>
      <c r="C119" s="67" t="s">
        <v>179</v>
      </c>
      <c r="D119" s="24" t="s">
        <v>89</v>
      </c>
      <c r="E119" s="24"/>
      <c r="F119" s="24"/>
      <c r="G119" s="24"/>
      <c r="H119" s="24"/>
      <c r="I119" s="24" t="s">
        <v>38</v>
      </c>
      <c r="J119" s="72" t="s">
        <v>180</v>
      </c>
      <c r="K119" s="64" t="s">
        <v>61</v>
      </c>
    </row>
    <row r="120" outlineLevel="1" spans="1:11">
      <c r="A120" s="24"/>
      <c r="B120" s="60" t="str">
        <f t="shared" si="6"/>
        <v>0431</v>
      </c>
      <c r="C120" s="67" t="s">
        <v>181</v>
      </c>
      <c r="D120" s="24" t="s">
        <v>89</v>
      </c>
      <c r="E120" s="24"/>
      <c r="F120" s="24"/>
      <c r="G120" s="24"/>
      <c r="H120" s="24"/>
      <c r="I120" s="24" t="s">
        <v>38</v>
      </c>
      <c r="J120" s="72" t="s">
        <v>182</v>
      </c>
      <c r="K120" s="64" t="s">
        <v>61</v>
      </c>
    </row>
    <row r="121" outlineLevel="1" spans="1:11">
      <c r="A121" s="24"/>
      <c r="B121" s="60" t="str">
        <f t="shared" si="6"/>
        <v>0432</v>
      </c>
      <c r="C121" s="67" t="s">
        <v>183</v>
      </c>
      <c r="D121" s="24" t="s">
        <v>89</v>
      </c>
      <c r="E121" s="24"/>
      <c r="F121" s="24"/>
      <c r="G121" s="24"/>
      <c r="H121" s="24"/>
      <c r="I121" s="24" t="s">
        <v>38</v>
      </c>
      <c r="J121" s="72" t="s">
        <v>184</v>
      </c>
      <c r="K121" s="64" t="s">
        <v>61</v>
      </c>
    </row>
    <row r="122" outlineLevel="1" spans="1:11">
      <c r="A122" s="24"/>
      <c r="B122" s="60" t="str">
        <f t="shared" si="6"/>
        <v>0433</v>
      </c>
      <c r="C122" s="67" t="s">
        <v>185</v>
      </c>
      <c r="D122" s="24" t="s">
        <v>89</v>
      </c>
      <c r="E122" s="24"/>
      <c r="F122" s="24"/>
      <c r="G122" s="24"/>
      <c r="H122" s="24"/>
      <c r="I122" s="24" t="s">
        <v>38</v>
      </c>
      <c r="J122" s="72" t="s">
        <v>186</v>
      </c>
      <c r="K122" s="64" t="s">
        <v>61</v>
      </c>
    </row>
    <row r="123" outlineLevel="1" spans="1:11">
      <c r="A123" s="24"/>
      <c r="B123" s="60" t="str">
        <f t="shared" si="6"/>
        <v>0434</v>
      </c>
      <c r="C123" s="67" t="s">
        <v>187</v>
      </c>
      <c r="D123" s="24" t="s">
        <v>89</v>
      </c>
      <c r="E123" s="24"/>
      <c r="F123" s="24"/>
      <c r="G123" s="24"/>
      <c r="H123" s="24"/>
      <c r="I123" s="24" t="s">
        <v>38</v>
      </c>
      <c r="J123" s="72" t="s">
        <v>188</v>
      </c>
      <c r="K123" s="64" t="s">
        <v>61</v>
      </c>
    </row>
    <row r="124" outlineLevel="1" spans="1:11">
      <c r="A124" s="24"/>
      <c r="B124" s="60" t="str">
        <f t="shared" si="6"/>
        <v>0435</v>
      </c>
      <c r="C124" s="67" t="s">
        <v>189</v>
      </c>
      <c r="D124" s="24" t="s">
        <v>89</v>
      </c>
      <c r="E124" s="24"/>
      <c r="F124" s="24"/>
      <c r="G124" s="24"/>
      <c r="H124" s="24"/>
      <c r="I124" s="24" t="s">
        <v>38</v>
      </c>
      <c r="J124" s="72" t="s">
        <v>190</v>
      </c>
      <c r="K124" s="64" t="s">
        <v>61</v>
      </c>
    </row>
    <row r="125" outlineLevel="1" spans="1:11">
      <c r="A125" s="24"/>
      <c r="B125" s="60" t="str">
        <f t="shared" si="6"/>
        <v>0436</v>
      </c>
      <c r="C125" s="67" t="s">
        <v>191</v>
      </c>
      <c r="D125" s="24" t="s">
        <v>89</v>
      </c>
      <c r="E125" s="24"/>
      <c r="F125" s="24"/>
      <c r="G125" s="24"/>
      <c r="H125" s="24"/>
      <c r="I125" s="24" t="s">
        <v>38</v>
      </c>
      <c r="J125" s="72" t="s">
        <v>192</v>
      </c>
      <c r="K125" s="64" t="s">
        <v>61</v>
      </c>
    </row>
    <row r="126" outlineLevel="1" spans="1:11">
      <c r="A126" s="24"/>
      <c r="B126" s="60" t="str">
        <f t="shared" si="6"/>
        <v>0437</v>
      </c>
      <c r="C126" s="67" t="s">
        <v>193</v>
      </c>
      <c r="D126" s="24" t="s">
        <v>89</v>
      </c>
      <c r="E126" s="24"/>
      <c r="F126" s="24"/>
      <c r="G126" s="24"/>
      <c r="H126" s="24"/>
      <c r="I126" s="24" t="s">
        <v>38</v>
      </c>
      <c r="J126" s="72" t="s">
        <v>194</v>
      </c>
      <c r="K126" s="64" t="s">
        <v>61</v>
      </c>
    </row>
    <row r="127" outlineLevel="1" spans="1:11">
      <c r="A127" s="24"/>
      <c r="B127" s="60" t="str">
        <f t="shared" si="6"/>
        <v>0438</v>
      </c>
      <c r="C127" s="67" t="s">
        <v>195</v>
      </c>
      <c r="D127" s="24" t="s">
        <v>89</v>
      </c>
      <c r="E127" s="24"/>
      <c r="F127" s="24"/>
      <c r="G127" s="24"/>
      <c r="H127" s="24"/>
      <c r="I127" s="24" t="s">
        <v>38</v>
      </c>
      <c r="J127" s="72" t="s">
        <v>196</v>
      </c>
      <c r="K127" s="64" t="s">
        <v>61</v>
      </c>
    </row>
    <row r="128" outlineLevel="1" spans="1:11">
      <c r="A128" s="24"/>
      <c r="B128" s="60" t="str">
        <f t="shared" si="6"/>
        <v>0439</v>
      </c>
      <c r="C128" s="67" t="s">
        <v>197</v>
      </c>
      <c r="D128" s="24" t="s">
        <v>89</v>
      </c>
      <c r="E128" s="24"/>
      <c r="F128" s="24"/>
      <c r="G128" s="24"/>
      <c r="H128" s="24"/>
      <c r="I128" s="24" t="s">
        <v>38</v>
      </c>
      <c r="J128" s="72" t="s">
        <v>198</v>
      </c>
      <c r="K128" s="64" t="s">
        <v>61</v>
      </c>
    </row>
    <row r="129" outlineLevel="1" spans="1:11">
      <c r="A129" s="24"/>
      <c r="B129" s="60" t="str">
        <f t="shared" si="6"/>
        <v>043A</v>
      </c>
      <c r="C129" s="67" t="s">
        <v>199</v>
      </c>
      <c r="D129" s="24" t="s">
        <v>89</v>
      </c>
      <c r="E129" s="24"/>
      <c r="F129" s="24"/>
      <c r="G129" s="24"/>
      <c r="H129" s="24"/>
      <c r="I129" s="24" t="s">
        <v>38</v>
      </c>
      <c r="J129" s="72" t="s">
        <v>200</v>
      </c>
      <c r="K129" s="64" t="s">
        <v>61</v>
      </c>
    </row>
    <row r="130" outlineLevel="1" spans="1:11">
      <c r="A130" s="24"/>
      <c r="B130" s="60" t="str">
        <f t="shared" si="6"/>
        <v>043B</v>
      </c>
      <c r="C130" s="67"/>
      <c r="D130" s="24"/>
      <c r="E130" s="24"/>
      <c r="F130" s="24"/>
      <c r="G130" s="24"/>
      <c r="H130" s="24"/>
      <c r="I130" s="24"/>
      <c r="J130" s="67"/>
      <c r="K130" s="24"/>
    </row>
    <row r="131" outlineLevel="1" spans="1:11">
      <c r="A131" s="24"/>
      <c r="B131" s="60" t="str">
        <f t="shared" si="6"/>
        <v>043C</v>
      </c>
      <c r="C131" s="67"/>
      <c r="D131" s="24"/>
      <c r="E131" s="24"/>
      <c r="F131" s="24"/>
      <c r="G131" s="24"/>
      <c r="H131" s="24"/>
      <c r="I131" s="24"/>
      <c r="J131" s="67"/>
      <c r="K131" s="24"/>
    </row>
    <row r="132" outlineLevel="1" spans="1:11">
      <c r="A132" s="24"/>
      <c r="B132" s="60" t="str">
        <f t="shared" si="6"/>
        <v>043D</v>
      </c>
      <c r="C132" s="67"/>
      <c r="D132" s="24"/>
      <c r="E132" s="24"/>
      <c r="F132" s="24"/>
      <c r="G132" s="24"/>
      <c r="H132" s="24"/>
      <c r="I132" s="24"/>
      <c r="J132" s="67"/>
      <c r="K132" s="24"/>
    </row>
    <row r="133" outlineLevel="1" spans="1:11">
      <c r="A133" s="24"/>
      <c r="B133" s="60" t="str">
        <f t="shared" si="6"/>
        <v>043E</v>
      </c>
      <c r="C133" s="67"/>
      <c r="D133" s="24"/>
      <c r="E133" s="24"/>
      <c r="F133" s="24"/>
      <c r="G133" s="24"/>
      <c r="H133" s="24"/>
      <c r="I133" s="24"/>
      <c r="J133" s="67"/>
      <c r="K133" s="24"/>
    </row>
    <row r="134" outlineLevel="1" spans="1:11">
      <c r="A134" s="24"/>
      <c r="B134" s="60" t="str">
        <f t="shared" si="6"/>
        <v>043F</v>
      </c>
      <c r="C134" s="75"/>
      <c r="D134" s="24"/>
      <c r="E134" s="24"/>
      <c r="F134" s="24"/>
      <c r="G134" s="24"/>
      <c r="H134" s="24"/>
      <c r="I134" s="24"/>
      <c r="J134" s="67"/>
      <c r="K134" s="24"/>
    </row>
    <row r="135" outlineLevel="1" spans="1:11">
      <c r="A135" s="24"/>
      <c r="B135" s="60" t="str">
        <f t="shared" si="6"/>
        <v>0440</v>
      </c>
      <c r="C135" s="61" t="s">
        <v>201</v>
      </c>
      <c r="D135" s="59" t="s">
        <v>59</v>
      </c>
      <c r="E135" s="59"/>
      <c r="F135" s="59"/>
      <c r="G135" s="59"/>
      <c r="H135" s="59"/>
      <c r="I135" s="59" t="s">
        <v>38</v>
      </c>
      <c r="J135" s="63" t="s">
        <v>202</v>
      </c>
      <c r="K135" s="64" t="s">
        <v>61</v>
      </c>
    </row>
    <row r="136" outlineLevel="1" spans="1:11">
      <c r="A136" s="24"/>
      <c r="B136" s="60" t="str">
        <f t="shared" si="6"/>
        <v>0441</v>
      </c>
      <c r="C136" s="61"/>
      <c r="D136" s="59"/>
      <c r="E136" s="59"/>
      <c r="F136" s="59"/>
      <c r="G136" s="59"/>
      <c r="H136" s="59"/>
      <c r="I136" s="59"/>
      <c r="J136" s="63"/>
      <c r="K136" s="64" t="s">
        <v>61</v>
      </c>
    </row>
    <row r="137" outlineLevel="1" spans="1:11">
      <c r="A137" s="24"/>
      <c r="B137" s="60" t="str">
        <f t="shared" ref="B137:B198" si="7">DEC2HEX(1024+ROW()-ROW($B$71),4)</f>
        <v>0442</v>
      </c>
      <c r="C137" s="61"/>
      <c r="D137" s="59"/>
      <c r="E137" s="59"/>
      <c r="F137" s="59"/>
      <c r="G137" s="59"/>
      <c r="H137" s="59"/>
      <c r="I137" s="59"/>
      <c r="J137" s="63"/>
      <c r="K137" s="64" t="s">
        <v>61</v>
      </c>
    </row>
    <row r="138" ht="28" customHeight="1" outlineLevel="1" spans="1:11">
      <c r="A138" s="24"/>
      <c r="B138" s="60" t="str">
        <f t="shared" si="7"/>
        <v>0443</v>
      </c>
      <c r="C138" s="61"/>
      <c r="D138" s="59"/>
      <c r="E138" s="59"/>
      <c r="F138" s="59"/>
      <c r="G138" s="59"/>
      <c r="H138" s="59"/>
      <c r="I138" s="59"/>
      <c r="J138" s="63"/>
      <c r="K138" s="64" t="s">
        <v>61</v>
      </c>
    </row>
    <row r="139" outlineLevel="1" spans="1:11">
      <c r="A139" s="24"/>
      <c r="B139" s="60" t="str">
        <f t="shared" si="7"/>
        <v>0444</v>
      </c>
      <c r="C139" s="69" t="s">
        <v>203</v>
      </c>
      <c r="D139" s="24" t="s">
        <v>89</v>
      </c>
      <c r="E139" s="24"/>
      <c r="F139" s="24"/>
      <c r="G139" s="24"/>
      <c r="H139" s="24"/>
      <c r="I139" s="24"/>
      <c r="J139" s="67" t="s">
        <v>204</v>
      </c>
      <c r="K139" s="24"/>
    </row>
    <row r="140" ht="57" outlineLevel="1" spans="1:11">
      <c r="A140" s="24"/>
      <c r="B140" s="60" t="str">
        <f t="shared" si="7"/>
        <v>0445</v>
      </c>
      <c r="C140" s="69" t="s">
        <v>205</v>
      </c>
      <c r="D140" s="24" t="s">
        <v>66</v>
      </c>
      <c r="E140" s="24"/>
      <c r="F140" s="24"/>
      <c r="G140" s="24"/>
      <c r="H140" s="24"/>
      <c r="I140" s="24" t="s">
        <v>38</v>
      </c>
      <c r="J140" s="79" t="s">
        <v>206</v>
      </c>
      <c r="K140" s="64" t="s">
        <v>61</v>
      </c>
    </row>
    <row r="141" ht="57" outlineLevel="1" spans="1:11">
      <c r="A141" s="24"/>
      <c r="B141" s="60" t="str">
        <f t="shared" si="7"/>
        <v>0446</v>
      </c>
      <c r="C141" s="69" t="s">
        <v>207</v>
      </c>
      <c r="D141" s="24" t="s">
        <v>66</v>
      </c>
      <c r="E141" s="24"/>
      <c r="F141" s="24"/>
      <c r="G141" s="24"/>
      <c r="H141" s="24"/>
      <c r="I141" s="24" t="s">
        <v>38</v>
      </c>
      <c r="J141" s="79" t="s">
        <v>208</v>
      </c>
      <c r="K141" s="64" t="s">
        <v>61</v>
      </c>
    </row>
    <row r="142" ht="57" outlineLevel="1" spans="1:11">
      <c r="A142" s="24"/>
      <c r="B142" s="60" t="str">
        <f t="shared" si="7"/>
        <v>0447</v>
      </c>
      <c r="C142" s="69" t="s">
        <v>209</v>
      </c>
      <c r="D142" s="24" t="s">
        <v>66</v>
      </c>
      <c r="E142" s="24"/>
      <c r="F142" s="24"/>
      <c r="G142" s="24"/>
      <c r="H142" s="24"/>
      <c r="I142" s="24" t="s">
        <v>38</v>
      </c>
      <c r="J142" s="79" t="s">
        <v>210</v>
      </c>
      <c r="K142" s="64" t="s">
        <v>61</v>
      </c>
    </row>
    <row r="143" ht="57" outlineLevel="1" spans="1:11">
      <c r="A143" s="24"/>
      <c r="B143" s="60" t="str">
        <f t="shared" si="7"/>
        <v>0448</v>
      </c>
      <c r="C143" s="69" t="s">
        <v>211</v>
      </c>
      <c r="D143" s="24" t="s">
        <v>66</v>
      </c>
      <c r="E143" s="24"/>
      <c r="F143" s="24"/>
      <c r="G143" s="24"/>
      <c r="H143" s="24"/>
      <c r="I143" s="24" t="s">
        <v>38</v>
      </c>
      <c r="J143" s="79" t="s">
        <v>212</v>
      </c>
      <c r="K143" s="64" t="s">
        <v>61</v>
      </c>
    </row>
    <row r="144" ht="57" outlineLevel="1" spans="1:11">
      <c r="A144" s="24"/>
      <c r="B144" s="60" t="str">
        <f t="shared" si="7"/>
        <v>0449</v>
      </c>
      <c r="C144" s="69" t="s">
        <v>213</v>
      </c>
      <c r="D144" s="24" t="s">
        <v>66</v>
      </c>
      <c r="E144" s="24"/>
      <c r="F144" s="24"/>
      <c r="G144" s="24"/>
      <c r="H144" s="24"/>
      <c r="I144" s="24" t="s">
        <v>38</v>
      </c>
      <c r="J144" s="79" t="s">
        <v>214</v>
      </c>
      <c r="K144" s="64" t="s">
        <v>61</v>
      </c>
    </row>
    <row r="145" ht="57" outlineLevel="1" spans="1:11">
      <c r="A145" s="24"/>
      <c r="B145" s="60" t="str">
        <f t="shared" si="7"/>
        <v>044A</v>
      </c>
      <c r="C145" s="69" t="s">
        <v>215</v>
      </c>
      <c r="D145" s="24" t="s">
        <v>66</v>
      </c>
      <c r="E145" s="24"/>
      <c r="F145" s="24"/>
      <c r="G145" s="24"/>
      <c r="H145" s="24"/>
      <c r="I145" s="24" t="s">
        <v>38</v>
      </c>
      <c r="J145" s="79" t="s">
        <v>216</v>
      </c>
      <c r="K145" s="64" t="s">
        <v>61</v>
      </c>
    </row>
    <row r="146" ht="57" outlineLevel="1" spans="1:11">
      <c r="A146" s="24"/>
      <c r="B146" s="60" t="str">
        <f t="shared" si="7"/>
        <v>044B</v>
      </c>
      <c r="C146" s="69" t="s">
        <v>217</v>
      </c>
      <c r="D146" s="24" t="s">
        <v>66</v>
      </c>
      <c r="E146" s="24"/>
      <c r="F146" s="24"/>
      <c r="G146" s="24"/>
      <c r="H146" s="24"/>
      <c r="I146" s="24" t="s">
        <v>38</v>
      </c>
      <c r="J146" s="79" t="s">
        <v>218</v>
      </c>
      <c r="K146" s="64" t="s">
        <v>61</v>
      </c>
    </row>
    <row r="147" ht="57" outlineLevel="1" spans="1:11">
      <c r="A147" s="24"/>
      <c r="B147" s="60" t="str">
        <f t="shared" si="7"/>
        <v>044C</v>
      </c>
      <c r="C147" s="69" t="s">
        <v>219</v>
      </c>
      <c r="D147" s="76" t="s">
        <v>66</v>
      </c>
      <c r="E147" s="77"/>
      <c r="F147" s="77"/>
      <c r="G147" s="77"/>
      <c r="H147" s="77"/>
      <c r="I147" s="76" t="s">
        <v>38</v>
      </c>
      <c r="J147" s="79" t="s">
        <v>220</v>
      </c>
      <c r="K147" s="64" t="s">
        <v>61</v>
      </c>
    </row>
    <row r="148" ht="57" outlineLevel="1" spans="1:11">
      <c r="A148" s="24"/>
      <c r="B148" s="60" t="str">
        <f t="shared" si="7"/>
        <v>044D</v>
      </c>
      <c r="C148" s="69" t="s">
        <v>221</v>
      </c>
      <c r="D148" s="24" t="s">
        <v>66</v>
      </c>
      <c r="E148" s="24"/>
      <c r="F148" s="24"/>
      <c r="G148" s="24"/>
      <c r="H148" s="24"/>
      <c r="I148" s="24" t="s">
        <v>38</v>
      </c>
      <c r="J148" s="79" t="s">
        <v>222</v>
      </c>
      <c r="K148" s="64" t="s">
        <v>61</v>
      </c>
    </row>
    <row r="149" ht="57" outlineLevel="1" spans="1:11">
      <c r="A149" s="24"/>
      <c r="B149" s="60" t="str">
        <f t="shared" si="7"/>
        <v>044E</v>
      </c>
      <c r="C149" s="69" t="s">
        <v>223</v>
      </c>
      <c r="D149" s="24" t="s">
        <v>66</v>
      </c>
      <c r="E149" s="24"/>
      <c r="F149" s="24"/>
      <c r="G149" s="24"/>
      <c r="H149" s="24"/>
      <c r="I149" s="24" t="s">
        <v>38</v>
      </c>
      <c r="J149" s="79" t="s">
        <v>224</v>
      </c>
      <c r="K149" s="64" t="s">
        <v>61</v>
      </c>
    </row>
    <row r="150" ht="57" outlineLevel="1" spans="1:11">
      <c r="A150" s="24"/>
      <c r="B150" s="60" t="str">
        <f t="shared" si="7"/>
        <v>044F</v>
      </c>
      <c r="C150" s="69" t="s">
        <v>225</v>
      </c>
      <c r="D150" s="24" t="s">
        <v>66</v>
      </c>
      <c r="E150" s="24"/>
      <c r="F150" s="24"/>
      <c r="G150" s="24"/>
      <c r="H150" s="24"/>
      <c r="I150" s="24" t="s">
        <v>38</v>
      </c>
      <c r="J150" s="79" t="s">
        <v>226</v>
      </c>
      <c r="K150" s="64" t="s">
        <v>61</v>
      </c>
    </row>
    <row r="151" ht="85.5" outlineLevel="1" spans="1:11">
      <c r="A151" s="24"/>
      <c r="B151" s="60" t="str">
        <f t="shared" si="7"/>
        <v>0450</v>
      </c>
      <c r="C151" s="69" t="s">
        <v>227</v>
      </c>
      <c r="D151" s="24" t="s">
        <v>66</v>
      </c>
      <c r="E151" s="24"/>
      <c r="F151" s="24"/>
      <c r="G151" s="24"/>
      <c r="H151" s="24"/>
      <c r="I151" s="24" t="s">
        <v>38</v>
      </c>
      <c r="J151" s="79" t="s">
        <v>228</v>
      </c>
      <c r="K151" s="64" t="s">
        <v>61</v>
      </c>
    </row>
    <row r="152" ht="128.25" outlineLevel="1" spans="1:11">
      <c r="A152" s="24"/>
      <c r="B152" s="60" t="str">
        <f t="shared" si="7"/>
        <v>0451</v>
      </c>
      <c r="C152" s="69" t="s">
        <v>229</v>
      </c>
      <c r="D152" s="24" t="s">
        <v>66</v>
      </c>
      <c r="E152" s="24"/>
      <c r="F152" s="24"/>
      <c r="G152" s="24"/>
      <c r="H152" s="24"/>
      <c r="I152" s="24" t="s">
        <v>38</v>
      </c>
      <c r="J152" s="79" t="s">
        <v>230</v>
      </c>
      <c r="K152" s="64" t="s">
        <v>61</v>
      </c>
    </row>
    <row r="153" ht="57" outlineLevel="1" spans="1:11">
      <c r="A153" s="24"/>
      <c r="B153" s="60" t="str">
        <f t="shared" si="7"/>
        <v>0452</v>
      </c>
      <c r="C153" s="69" t="s">
        <v>231</v>
      </c>
      <c r="D153" s="24" t="s">
        <v>66</v>
      </c>
      <c r="E153" s="24"/>
      <c r="F153" s="24"/>
      <c r="G153" s="24"/>
      <c r="H153" s="24"/>
      <c r="I153" s="24" t="s">
        <v>38</v>
      </c>
      <c r="J153" s="79" t="s">
        <v>232</v>
      </c>
      <c r="K153" s="64" t="s">
        <v>61</v>
      </c>
    </row>
    <row r="154" ht="85.5" outlineLevel="1" spans="1:11">
      <c r="A154" s="24"/>
      <c r="B154" s="60" t="str">
        <f t="shared" si="7"/>
        <v>0453</v>
      </c>
      <c r="C154" s="69" t="s">
        <v>233</v>
      </c>
      <c r="D154" s="24" t="s">
        <v>66</v>
      </c>
      <c r="E154" s="24"/>
      <c r="F154" s="24"/>
      <c r="G154" s="24"/>
      <c r="H154" s="24"/>
      <c r="I154" s="24" t="s">
        <v>38</v>
      </c>
      <c r="J154" s="79" t="s">
        <v>234</v>
      </c>
      <c r="K154" s="64" t="s">
        <v>61</v>
      </c>
    </row>
    <row r="155" ht="85.5" outlineLevel="1" spans="1:11">
      <c r="A155" s="24"/>
      <c r="B155" s="60" t="str">
        <f t="shared" si="7"/>
        <v>0454</v>
      </c>
      <c r="C155" s="69" t="s">
        <v>235</v>
      </c>
      <c r="D155" s="24" t="s">
        <v>66</v>
      </c>
      <c r="E155" s="24"/>
      <c r="F155" s="24"/>
      <c r="G155" s="24"/>
      <c r="H155" s="24"/>
      <c r="I155" s="24" t="s">
        <v>38</v>
      </c>
      <c r="J155" s="79" t="s">
        <v>236</v>
      </c>
      <c r="K155" s="64" t="s">
        <v>61</v>
      </c>
    </row>
    <row r="156" ht="128.25" outlineLevel="1" spans="1:11">
      <c r="A156" s="24"/>
      <c r="B156" s="60" t="str">
        <f t="shared" si="7"/>
        <v>0455</v>
      </c>
      <c r="C156" s="69" t="s">
        <v>237</v>
      </c>
      <c r="D156" s="24" t="s">
        <v>66</v>
      </c>
      <c r="E156" s="24"/>
      <c r="F156" s="24"/>
      <c r="G156" s="24"/>
      <c r="H156" s="24"/>
      <c r="I156" s="24" t="s">
        <v>38</v>
      </c>
      <c r="J156" s="79" t="s">
        <v>238</v>
      </c>
      <c r="K156" s="64" t="s">
        <v>61</v>
      </c>
    </row>
    <row r="157" ht="57" outlineLevel="1" spans="1:11">
      <c r="A157" s="24"/>
      <c r="B157" s="60" t="str">
        <f t="shared" si="7"/>
        <v>0456</v>
      </c>
      <c r="C157" s="69" t="s">
        <v>239</v>
      </c>
      <c r="D157" s="24" t="s">
        <v>66</v>
      </c>
      <c r="E157" s="24"/>
      <c r="F157" s="24"/>
      <c r="G157" s="24"/>
      <c r="H157" s="24"/>
      <c r="I157" s="24" t="s">
        <v>38</v>
      </c>
      <c r="J157" s="79" t="s">
        <v>240</v>
      </c>
      <c r="K157" s="64" t="s">
        <v>61</v>
      </c>
    </row>
    <row r="158" ht="85.5" outlineLevel="1" spans="1:11">
      <c r="A158" s="24"/>
      <c r="B158" s="60" t="str">
        <f t="shared" si="7"/>
        <v>0457</v>
      </c>
      <c r="C158" s="69" t="s">
        <v>241</v>
      </c>
      <c r="D158" s="24" t="s">
        <v>66</v>
      </c>
      <c r="E158" s="24"/>
      <c r="F158" s="24"/>
      <c r="G158" s="24"/>
      <c r="H158" s="24"/>
      <c r="I158" s="24" t="s">
        <v>38</v>
      </c>
      <c r="J158" s="79" t="s">
        <v>242</v>
      </c>
      <c r="K158" s="64" t="s">
        <v>61</v>
      </c>
    </row>
    <row r="159" ht="85.5" outlineLevel="1" spans="1:11">
      <c r="A159" s="24"/>
      <c r="B159" s="60" t="str">
        <f t="shared" si="7"/>
        <v>0458</v>
      </c>
      <c r="C159" s="69" t="s">
        <v>243</v>
      </c>
      <c r="D159" s="24" t="s">
        <v>66</v>
      </c>
      <c r="E159" s="24"/>
      <c r="F159" s="24"/>
      <c r="G159" s="24"/>
      <c r="H159" s="24"/>
      <c r="I159" s="24" t="s">
        <v>38</v>
      </c>
      <c r="J159" s="79" t="s">
        <v>244</v>
      </c>
      <c r="K159" s="64" t="s">
        <v>61</v>
      </c>
    </row>
    <row r="160" ht="128.25" outlineLevel="1" spans="1:11">
      <c r="A160" s="24"/>
      <c r="B160" s="60" t="str">
        <f t="shared" si="7"/>
        <v>0459</v>
      </c>
      <c r="C160" s="69" t="s">
        <v>245</v>
      </c>
      <c r="D160" s="24" t="s">
        <v>66</v>
      </c>
      <c r="E160" s="24"/>
      <c r="F160" s="24"/>
      <c r="G160" s="24"/>
      <c r="H160" s="24"/>
      <c r="I160" s="24" t="s">
        <v>38</v>
      </c>
      <c r="J160" s="79" t="s">
        <v>246</v>
      </c>
      <c r="K160" s="64" t="s">
        <v>61</v>
      </c>
    </row>
    <row r="161" ht="57" outlineLevel="1" spans="1:11">
      <c r="A161" s="24"/>
      <c r="B161" s="60" t="str">
        <f t="shared" si="7"/>
        <v>045A</v>
      </c>
      <c r="C161" s="69" t="s">
        <v>247</v>
      </c>
      <c r="D161" s="24" t="s">
        <v>66</v>
      </c>
      <c r="E161" s="24"/>
      <c r="F161" s="24"/>
      <c r="G161" s="24"/>
      <c r="H161" s="24"/>
      <c r="I161" s="24" t="s">
        <v>38</v>
      </c>
      <c r="J161" s="79" t="s">
        <v>248</v>
      </c>
      <c r="K161" s="64" t="s">
        <v>61</v>
      </c>
    </row>
    <row r="162" ht="28.5" outlineLevel="1" spans="1:11">
      <c r="A162" s="24"/>
      <c r="B162" s="60" t="str">
        <f t="shared" si="7"/>
        <v>045B</v>
      </c>
      <c r="C162" s="67" t="s">
        <v>249</v>
      </c>
      <c r="D162" s="24" t="s">
        <v>89</v>
      </c>
      <c r="E162" s="24"/>
      <c r="F162" s="24"/>
      <c r="G162" s="24"/>
      <c r="H162" s="24"/>
      <c r="I162" s="24" t="s">
        <v>38</v>
      </c>
      <c r="J162" s="79" t="s">
        <v>250</v>
      </c>
      <c r="K162" s="64" t="s">
        <v>61</v>
      </c>
    </row>
    <row r="163" ht="28.5" outlineLevel="1" spans="1:11">
      <c r="A163" s="24"/>
      <c r="B163" s="60" t="str">
        <f t="shared" si="7"/>
        <v>045C</v>
      </c>
      <c r="C163" s="67" t="s">
        <v>251</v>
      </c>
      <c r="D163" s="24" t="s">
        <v>89</v>
      </c>
      <c r="E163" s="24"/>
      <c r="F163" s="24"/>
      <c r="G163" s="24"/>
      <c r="H163" s="24"/>
      <c r="I163" s="24" t="s">
        <v>38</v>
      </c>
      <c r="J163" s="79" t="s">
        <v>252</v>
      </c>
      <c r="K163" s="64" t="s">
        <v>61</v>
      </c>
    </row>
    <row r="164" outlineLevel="1" spans="1:11">
      <c r="A164" s="24"/>
      <c r="B164" s="60" t="str">
        <f t="shared" si="7"/>
        <v>045D</v>
      </c>
      <c r="C164" s="67" t="s">
        <v>253</v>
      </c>
      <c r="D164" s="24" t="s">
        <v>89</v>
      </c>
      <c r="E164" s="24"/>
      <c r="F164" s="24"/>
      <c r="G164" s="24"/>
      <c r="H164" s="24"/>
      <c r="I164" s="24" t="s">
        <v>38</v>
      </c>
      <c r="J164" s="67"/>
      <c r="K164" s="64" t="s">
        <v>61</v>
      </c>
    </row>
    <row r="165" outlineLevel="1" spans="1:11">
      <c r="A165" s="24"/>
      <c r="B165" s="60" t="str">
        <f t="shared" si="7"/>
        <v>045E</v>
      </c>
      <c r="C165" s="67" t="s">
        <v>254</v>
      </c>
      <c r="D165" s="24" t="s">
        <v>89</v>
      </c>
      <c r="E165" s="24"/>
      <c r="F165" s="24"/>
      <c r="G165" s="24"/>
      <c r="H165" s="24"/>
      <c r="I165" s="24" t="s">
        <v>38</v>
      </c>
      <c r="J165" s="67"/>
      <c r="K165" s="64" t="s">
        <v>61</v>
      </c>
    </row>
    <row r="166" outlineLevel="1" spans="1:11">
      <c r="A166" s="24"/>
      <c r="B166" s="60" t="str">
        <f t="shared" si="7"/>
        <v>045F</v>
      </c>
      <c r="C166" s="67" t="s">
        <v>255</v>
      </c>
      <c r="D166" s="24" t="s">
        <v>89</v>
      </c>
      <c r="E166" s="24"/>
      <c r="F166" s="24"/>
      <c r="G166" s="24"/>
      <c r="H166" s="24"/>
      <c r="I166" s="24" t="s">
        <v>38</v>
      </c>
      <c r="J166" s="67"/>
      <c r="K166" s="64" t="s">
        <v>61</v>
      </c>
    </row>
    <row r="167" ht="128.25" outlineLevel="1" spans="1:11">
      <c r="A167" s="24"/>
      <c r="B167" s="60" t="str">
        <f t="shared" si="7"/>
        <v>0460</v>
      </c>
      <c r="C167" s="63" t="s">
        <v>256</v>
      </c>
      <c r="D167" s="59" t="s">
        <v>66</v>
      </c>
      <c r="E167" s="59"/>
      <c r="F167" s="59"/>
      <c r="G167" s="59"/>
      <c r="H167" s="59"/>
      <c r="I167" s="59" t="s">
        <v>38</v>
      </c>
      <c r="J167" s="63" t="s">
        <v>257</v>
      </c>
      <c r="K167" s="64" t="s">
        <v>61</v>
      </c>
    </row>
    <row r="168" ht="128.25" outlineLevel="1" spans="1:11">
      <c r="A168" s="24"/>
      <c r="B168" s="60" t="str">
        <f t="shared" si="7"/>
        <v>0461</v>
      </c>
      <c r="C168" s="63" t="s">
        <v>258</v>
      </c>
      <c r="D168" s="59" t="s">
        <v>66</v>
      </c>
      <c r="E168" s="59"/>
      <c r="F168" s="59"/>
      <c r="G168" s="59"/>
      <c r="H168" s="59"/>
      <c r="I168" s="59" t="s">
        <v>38</v>
      </c>
      <c r="J168" s="63" t="s">
        <v>259</v>
      </c>
      <c r="K168" s="64" t="s">
        <v>61</v>
      </c>
    </row>
    <row r="169" ht="156.75" outlineLevel="1" spans="1:11">
      <c r="A169" s="24"/>
      <c r="B169" s="60" t="str">
        <f t="shared" si="7"/>
        <v>0462</v>
      </c>
      <c r="C169" s="63" t="s">
        <v>260</v>
      </c>
      <c r="D169" s="59" t="s">
        <v>66</v>
      </c>
      <c r="E169" s="59"/>
      <c r="F169" s="59"/>
      <c r="G169" s="59"/>
      <c r="H169" s="59"/>
      <c r="I169" s="59" t="s">
        <v>38</v>
      </c>
      <c r="J169" s="63" t="s">
        <v>261</v>
      </c>
      <c r="K169" s="64" t="s">
        <v>61</v>
      </c>
    </row>
    <row r="170" ht="71.25" outlineLevel="1" spans="1:11">
      <c r="A170" s="24"/>
      <c r="B170" s="60" t="str">
        <f t="shared" si="7"/>
        <v>0463</v>
      </c>
      <c r="C170" s="63" t="s">
        <v>262</v>
      </c>
      <c r="D170" s="59" t="s">
        <v>66</v>
      </c>
      <c r="E170" s="59"/>
      <c r="F170" s="59"/>
      <c r="G170" s="59"/>
      <c r="H170" s="59"/>
      <c r="I170" s="59" t="s">
        <v>38</v>
      </c>
      <c r="J170" s="63" t="s">
        <v>263</v>
      </c>
      <c r="K170" s="64" t="s">
        <v>61</v>
      </c>
    </row>
    <row r="171" ht="85.5" outlineLevel="1" spans="1:11">
      <c r="A171" s="24"/>
      <c r="B171" s="60" t="str">
        <f t="shared" si="7"/>
        <v>0464</v>
      </c>
      <c r="C171" s="78" t="s">
        <v>264</v>
      </c>
      <c r="D171" s="59" t="s">
        <v>66</v>
      </c>
      <c r="E171" s="59"/>
      <c r="F171" s="59"/>
      <c r="G171" s="59"/>
      <c r="H171" s="59"/>
      <c r="I171" s="59" t="s">
        <v>38</v>
      </c>
      <c r="J171" s="63" t="s">
        <v>265</v>
      </c>
      <c r="K171" s="64" t="s">
        <v>61</v>
      </c>
    </row>
    <row r="172" ht="85.5" outlineLevel="1" spans="1:11">
      <c r="A172" s="24"/>
      <c r="B172" s="60" t="str">
        <f t="shared" si="7"/>
        <v>0465</v>
      </c>
      <c r="C172" s="78" t="s">
        <v>266</v>
      </c>
      <c r="D172" s="59" t="s">
        <v>66</v>
      </c>
      <c r="E172" s="59"/>
      <c r="F172" s="59"/>
      <c r="G172" s="59"/>
      <c r="H172" s="59"/>
      <c r="I172" s="59" t="s">
        <v>38</v>
      </c>
      <c r="J172" s="63" t="s">
        <v>267</v>
      </c>
      <c r="K172" s="64" t="s">
        <v>61</v>
      </c>
    </row>
    <row r="173" outlineLevel="1" spans="1:11">
      <c r="A173" s="24"/>
      <c r="B173" s="60" t="str">
        <f t="shared" si="7"/>
        <v>0466</v>
      </c>
      <c r="C173" s="67"/>
      <c r="D173" s="24"/>
      <c r="E173" s="24"/>
      <c r="F173" s="24"/>
      <c r="G173" s="24"/>
      <c r="H173" s="24"/>
      <c r="I173" s="24"/>
      <c r="J173" s="67"/>
      <c r="K173" s="80"/>
    </row>
    <row r="174" outlineLevel="1" spans="1:11">
      <c r="A174" s="24"/>
      <c r="B174" s="60" t="str">
        <f t="shared" si="7"/>
        <v>0467</v>
      </c>
      <c r="C174" s="67"/>
      <c r="D174" s="24"/>
      <c r="E174" s="24"/>
      <c r="F174" s="24"/>
      <c r="G174" s="24"/>
      <c r="H174" s="24"/>
      <c r="I174" s="24"/>
      <c r="J174" s="67"/>
      <c r="K174" s="80"/>
    </row>
    <row r="175" outlineLevel="1" spans="1:11">
      <c r="A175" s="24"/>
      <c r="B175" s="60" t="str">
        <f t="shared" si="7"/>
        <v>0468</v>
      </c>
      <c r="C175" s="67"/>
      <c r="D175" s="24"/>
      <c r="E175" s="24"/>
      <c r="F175" s="24"/>
      <c r="G175" s="24"/>
      <c r="H175" s="24"/>
      <c r="I175" s="24"/>
      <c r="J175" s="67"/>
      <c r="K175" s="80"/>
    </row>
    <row r="176" outlineLevel="1" spans="1:11">
      <c r="A176" s="24"/>
      <c r="B176" s="60" t="str">
        <f t="shared" si="7"/>
        <v>0469</v>
      </c>
      <c r="C176" s="67"/>
      <c r="D176" s="24"/>
      <c r="E176" s="24"/>
      <c r="F176" s="24"/>
      <c r="G176" s="24"/>
      <c r="H176" s="24"/>
      <c r="I176" s="24"/>
      <c r="J176" s="67"/>
      <c r="K176" s="80"/>
    </row>
    <row r="177" outlineLevel="1" spans="1:11">
      <c r="A177" s="24"/>
      <c r="B177" s="60" t="str">
        <f t="shared" si="7"/>
        <v>046A</v>
      </c>
      <c r="C177" s="67"/>
      <c r="D177" s="24"/>
      <c r="E177" s="24"/>
      <c r="F177" s="24"/>
      <c r="G177" s="24"/>
      <c r="H177" s="24"/>
      <c r="I177" s="24"/>
      <c r="J177" s="67"/>
      <c r="K177" s="80"/>
    </row>
    <row r="178" outlineLevel="1" spans="1:11">
      <c r="A178" s="24"/>
      <c r="B178" s="60" t="str">
        <f t="shared" si="7"/>
        <v>046B</v>
      </c>
      <c r="C178" s="67"/>
      <c r="D178" s="24"/>
      <c r="E178" s="24"/>
      <c r="F178" s="24"/>
      <c r="G178" s="24"/>
      <c r="H178" s="24"/>
      <c r="I178" s="24"/>
      <c r="J178" s="67"/>
      <c r="K178" s="80"/>
    </row>
    <row r="179" outlineLevel="1" spans="1:11">
      <c r="A179" s="24"/>
      <c r="B179" s="60" t="str">
        <f t="shared" si="7"/>
        <v>046C</v>
      </c>
      <c r="C179" s="67"/>
      <c r="D179" s="24"/>
      <c r="E179" s="24"/>
      <c r="F179" s="24"/>
      <c r="G179" s="24"/>
      <c r="H179" s="24"/>
      <c r="I179" s="24"/>
      <c r="J179" s="67"/>
      <c r="K179" s="80"/>
    </row>
    <row r="180" outlineLevel="1" spans="1:11">
      <c r="A180" s="24"/>
      <c r="B180" s="60" t="str">
        <f t="shared" si="7"/>
        <v>046D</v>
      </c>
      <c r="C180" s="67"/>
      <c r="D180" s="24"/>
      <c r="E180" s="24"/>
      <c r="F180" s="24"/>
      <c r="G180" s="24"/>
      <c r="H180" s="24"/>
      <c r="I180" s="24"/>
      <c r="J180" s="67"/>
      <c r="K180" s="80"/>
    </row>
    <row r="181" outlineLevel="1" spans="1:11">
      <c r="A181" s="24"/>
      <c r="B181" s="60" t="str">
        <f t="shared" si="7"/>
        <v>046E</v>
      </c>
      <c r="C181" s="67"/>
      <c r="D181" s="24"/>
      <c r="E181" s="24"/>
      <c r="F181" s="24"/>
      <c r="G181" s="24"/>
      <c r="H181" s="24"/>
      <c r="I181" s="24"/>
      <c r="J181" s="67"/>
      <c r="K181" s="80"/>
    </row>
    <row r="182" outlineLevel="1" spans="1:11">
      <c r="A182" s="24"/>
      <c r="B182" s="60" t="str">
        <f t="shared" si="7"/>
        <v>046F</v>
      </c>
      <c r="C182" s="67"/>
      <c r="D182" s="24"/>
      <c r="E182" s="24"/>
      <c r="F182" s="24"/>
      <c r="G182" s="24"/>
      <c r="H182" s="24"/>
      <c r="I182" s="24"/>
      <c r="J182" s="67"/>
      <c r="K182" s="80"/>
    </row>
    <row r="183" ht="71.25" outlineLevel="1" spans="1:11">
      <c r="A183" s="24"/>
      <c r="B183" s="60" t="str">
        <f t="shared" si="7"/>
        <v>0470</v>
      </c>
      <c r="C183" s="69" t="s">
        <v>268</v>
      </c>
      <c r="D183" s="76" t="s">
        <v>66</v>
      </c>
      <c r="E183" s="76"/>
      <c r="F183" s="76"/>
      <c r="G183" s="76"/>
      <c r="H183" s="76"/>
      <c r="I183" s="76" t="s">
        <v>38</v>
      </c>
      <c r="J183" s="69" t="s">
        <v>269</v>
      </c>
      <c r="K183" s="64" t="s">
        <v>61</v>
      </c>
    </row>
    <row r="184" ht="71.25" outlineLevel="1" spans="1:11">
      <c r="A184" s="24"/>
      <c r="B184" s="60" t="str">
        <f t="shared" si="7"/>
        <v>0471</v>
      </c>
      <c r="C184" s="69" t="s">
        <v>270</v>
      </c>
      <c r="D184" s="76" t="s">
        <v>66</v>
      </c>
      <c r="E184" s="76"/>
      <c r="F184" s="76"/>
      <c r="G184" s="76"/>
      <c r="H184" s="76"/>
      <c r="I184" s="76" t="s">
        <v>38</v>
      </c>
      <c r="J184" s="69" t="s">
        <v>271</v>
      </c>
      <c r="K184" s="64" t="s">
        <v>61</v>
      </c>
    </row>
    <row r="185" outlineLevel="1" spans="1:11">
      <c r="A185" s="24"/>
      <c r="B185" s="60" t="str">
        <f t="shared" si="7"/>
        <v>0472</v>
      </c>
      <c r="C185" s="69" t="s">
        <v>272</v>
      </c>
      <c r="D185" s="76" t="s">
        <v>66</v>
      </c>
      <c r="E185" s="76"/>
      <c r="F185" s="76"/>
      <c r="G185" s="76"/>
      <c r="H185" s="76"/>
      <c r="I185" s="76" t="s">
        <v>38</v>
      </c>
      <c r="J185" s="69"/>
      <c r="K185" s="77"/>
    </row>
    <row r="186" outlineLevel="1" spans="1:11">
      <c r="A186" s="24"/>
      <c r="B186" s="60" t="str">
        <f t="shared" si="7"/>
        <v>0473</v>
      </c>
      <c r="C186" s="69" t="s">
        <v>273</v>
      </c>
      <c r="D186" s="76" t="s">
        <v>66</v>
      </c>
      <c r="E186" s="76"/>
      <c r="F186" s="76"/>
      <c r="G186" s="76"/>
      <c r="H186" s="76"/>
      <c r="I186" s="76" t="s">
        <v>38</v>
      </c>
      <c r="J186" s="69"/>
      <c r="K186" s="77"/>
    </row>
    <row r="187" outlineLevel="1" spans="1:11">
      <c r="A187" s="24"/>
      <c r="B187" s="60" t="str">
        <f t="shared" si="7"/>
        <v>0474</v>
      </c>
      <c r="C187" s="69" t="s">
        <v>274</v>
      </c>
      <c r="D187" s="76" t="s">
        <v>66</v>
      </c>
      <c r="E187" s="76"/>
      <c r="F187" s="76"/>
      <c r="G187" s="76"/>
      <c r="H187" s="76"/>
      <c r="I187" s="76" t="s">
        <v>38</v>
      </c>
      <c r="J187" s="69"/>
      <c r="K187" s="77"/>
    </row>
    <row r="188" outlineLevel="1" spans="1:11">
      <c r="A188" s="24"/>
      <c r="B188" s="60" t="str">
        <f t="shared" si="7"/>
        <v>0475</v>
      </c>
      <c r="C188" s="69" t="s">
        <v>275</v>
      </c>
      <c r="D188" s="76" t="s">
        <v>66</v>
      </c>
      <c r="E188" s="76"/>
      <c r="F188" s="76"/>
      <c r="G188" s="76"/>
      <c r="H188" s="76"/>
      <c r="I188" s="76" t="s">
        <v>38</v>
      </c>
      <c r="J188" s="69"/>
      <c r="K188" s="77"/>
    </row>
    <row r="189" outlineLevel="1" spans="1:11">
      <c r="A189" s="24"/>
      <c r="B189" s="60" t="str">
        <f t="shared" si="7"/>
        <v>0476</v>
      </c>
      <c r="C189" s="69" t="s">
        <v>276</v>
      </c>
      <c r="D189" s="76" t="s">
        <v>66</v>
      </c>
      <c r="E189" s="76"/>
      <c r="F189" s="76"/>
      <c r="G189" s="76"/>
      <c r="H189" s="76"/>
      <c r="I189" s="76" t="s">
        <v>38</v>
      </c>
      <c r="J189" s="69"/>
      <c r="K189" s="77"/>
    </row>
    <row r="190" outlineLevel="1" spans="1:11">
      <c r="A190" s="24"/>
      <c r="B190" s="60" t="str">
        <f t="shared" si="7"/>
        <v>0477</v>
      </c>
      <c r="C190" s="67"/>
      <c r="D190" s="24"/>
      <c r="E190" s="24"/>
      <c r="F190" s="24"/>
      <c r="G190" s="24"/>
      <c r="H190" s="24"/>
      <c r="I190" s="24"/>
      <c r="J190" s="67"/>
      <c r="K190" s="24"/>
    </row>
    <row r="191" outlineLevel="1" spans="1:11">
      <c r="A191" s="24"/>
      <c r="B191" s="60" t="str">
        <f t="shared" si="7"/>
        <v>0478</v>
      </c>
      <c r="C191" s="67"/>
      <c r="D191" s="24"/>
      <c r="E191" s="24"/>
      <c r="F191" s="24"/>
      <c r="G191" s="24"/>
      <c r="H191" s="24"/>
      <c r="I191" s="24"/>
      <c r="J191" s="67"/>
      <c r="K191" s="24"/>
    </row>
    <row r="192" outlineLevel="1" spans="1:11">
      <c r="A192" s="24"/>
      <c r="B192" s="60" t="str">
        <f t="shared" si="7"/>
        <v>0479</v>
      </c>
      <c r="C192" s="67"/>
      <c r="D192" s="24"/>
      <c r="E192" s="24"/>
      <c r="F192" s="24"/>
      <c r="G192" s="24"/>
      <c r="H192" s="24"/>
      <c r="I192" s="24"/>
      <c r="J192" s="67"/>
      <c r="K192" s="24"/>
    </row>
    <row r="193" outlineLevel="1" spans="1:11">
      <c r="A193" s="24"/>
      <c r="B193" s="60" t="str">
        <f t="shared" si="7"/>
        <v>047A</v>
      </c>
      <c r="C193" s="67"/>
      <c r="D193" s="24"/>
      <c r="E193" s="24"/>
      <c r="F193" s="24"/>
      <c r="G193" s="24"/>
      <c r="H193" s="24"/>
      <c r="I193" s="24"/>
      <c r="J193" s="67"/>
      <c r="K193" s="24"/>
    </row>
    <row r="194" outlineLevel="1" spans="1:11">
      <c r="A194" s="24"/>
      <c r="B194" s="60" t="str">
        <f t="shared" si="7"/>
        <v>047B</v>
      </c>
      <c r="C194" s="67"/>
      <c r="D194" s="24"/>
      <c r="E194" s="24"/>
      <c r="F194" s="24"/>
      <c r="G194" s="24"/>
      <c r="H194" s="24"/>
      <c r="I194" s="24"/>
      <c r="J194" s="67"/>
      <c r="K194" s="24"/>
    </row>
    <row r="195" outlineLevel="1" spans="1:11">
      <c r="A195" s="24"/>
      <c r="B195" s="60" t="str">
        <f t="shared" si="7"/>
        <v>047C</v>
      </c>
      <c r="C195" s="67"/>
      <c r="D195" s="24"/>
      <c r="E195" s="24"/>
      <c r="F195" s="24"/>
      <c r="G195" s="24"/>
      <c r="H195" s="24"/>
      <c r="I195" s="24"/>
      <c r="J195" s="67"/>
      <c r="K195" s="24"/>
    </row>
    <row r="196" outlineLevel="1" spans="1:11">
      <c r="A196" s="24"/>
      <c r="B196" s="60" t="str">
        <f t="shared" si="7"/>
        <v>047D</v>
      </c>
      <c r="C196" s="67"/>
      <c r="D196" s="24"/>
      <c r="E196" s="24"/>
      <c r="F196" s="24"/>
      <c r="G196" s="24"/>
      <c r="H196" s="24"/>
      <c r="I196" s="24"/>
      <c r="J196" s="67"/>
      <c r="K196" s="24"/>
    </row>
    <row r="197" outlineLevel="1" spans="1:11">
      <c r="A197" s="24"/>
      <c r="B197" s="60" t="str">
        <f t="shared" si="7"/>
        <v>047E</v>
      </c>
      <c r="C197" s="67"/>
      <c r="D197" s="24"/>
      <c r="E197" s="24"/>
      <c r="F197" s="24"/>
      <c r="G197" s="24"/>
      <c r="H197" s="24"/>
      <c r="I197" s="24"/>
      <c r="J197" s="67"/>
      <c r="K197" s="24"/>
    </row>
    <row r="198" outlineLevel="1" spans="1:11">
      <c r="A198" s="24"/>
      <c r="B198" s="60" t="str">
        <f t="shared" si="7"/>
        <v>047F</v>
      </c>
      <c r="C198" s="67"/>
      <c r="D198" s="24"/>
      <c r="E198" s="24"/>
      <c r="F198" s="24"/>
      <c r="G198" s="24"/>
      <c r="H198" s="24"/>
      <c r="I198" s="24"/>
      <c r="J198" s="67"/>
      <c r="K198" s="24"/>
    </row>
    <row r="199" spans="1:11">
      <c r="A199" s="24"/>
      <c r="B199" s="81"/>
      <c r="C199" s="67"/>
      <c r="D199" s="24"/>
      <c r="E199" s="24"/>
      <c r="F199" s="24"/>
      <c r="G199" s="24"/>
      <c r="H199" s="24"/>
      <c r="I199" s="24"/>
      <c r="J199" s="67"/>
      <c r="K199" s="24"/>
    </row>
    <row r="200" spans="1:11">
      <c r="A200" s="66" t="s">
        <v>277</v>
      </c>
      <c r="B200" s="66"/>
      <c r="C200" s="66"/>
      <c r="D200" s="66"/>
      <c r="E200" s="66"/>
      <c r="F200" s="66"/>
      <c r="G200" s="66"/>
      <c r="H200" s="66"/>
      <c r="I200" s="66"/>
      <c r="J200" s="66"/>
      <c r="K200" s="66"/>
    </row>
    <row r="201" s="47" customFormat="1" customHeight="1" outlineLevel="1" spans="1:11">
      <c r="A201" s="59"/>
      <c r="B201" s="60" t="str">
        <f>DEC2HEX(1152+ROW()-ROW($B$201),4)</f>
        <v>0480</v>
      </c>
      <c r="C201" s="63" t="s">
        <v>278</v>
      </c>
      <c r="D201" s="59" t="s">
        <v>59</v>
      </c>
      <c r="E201" s="59"/>
      <c r="F201" s="59"/>
      <c r="G201" s="59"/>
      <c r="H201" s="59"/>
      <c r="I201" s="59" t="s">
        <v>38</v>
      </c>
      <c r="J201" s="72" t="s">
        <v>279</v>
      </c>
      <c r="K201" s="48" t="s">
        <v>61</v>
      </c>
    </row>
    <row r="202" s="47" customFormat="1" outlineLevel="1" spans="1:11">
      <c r="A202" s="59"/>
      <c r="B202" s="60" t="str">
        <f t="shared" ref="B202:B264" si="8">DEC2HEX(1152+ROW()-ROW($B$201),4)</f>
        <v>0481</v>
      </c>
      <c r="C202" s="63"/>
      <c r="D202" s="59"/>
      <c r="E202" s="59"/>
      <c r="F202" s="59"/>
      <c r="G202" s="59"/>
      <c r="H202" s="59"/>
      <c r="I202" s="59"/>
      <c r="J202" s="72"/>
      <c r="K202" s="48"/>
    </row>
    <row r="203" s="47" customFormat="1" outlineLevel="1" spans="1:11">
      <c r="A203" s="59"/>
      <c r="B203" s="60" t="str">
        <f t="shared" si="8"/>
        <v>0482</v>
      </c>
      <c r="C203" s="63"/>
      <c r="D203" s="59"/>
      <c r="E203" s="59"/>
      <c r="F203" s="59"/>
      <c r="G203" s="59"/>
      <c r="H203" s="59"/>
      <c r="I203" s="59"/>
      <c r="J203" s="72"/>
      <c r="K203" s="48"/>
    </row>
    <row r="204" s="47" customFormat="1" ht="50" customHeight="1" outlineLevel="1" spans="1:11">
      <c r="A204" s="59"/>
      <c r="B204" s="60" t="str">
        <f t="shared" si="8"/>
        <v>0483</v>
      </c>
      <c r="C204" s="63"/>
      <c r="D204" s="59"/>
      <c r="E204" s="59"/>
      <c r="F204" s="59"/>
      <c r="G204" s="59"/>
      <c r="H204" s="59"/>
      <c r="I204" s="59"/>
      <c r="J204" s="72"/>
      <c r="K204" s="48"/>
    </row>
    <row r="205" s="47" customFormat="1" outlineLevel="1" spans="1:11">
      <c r="A205" s="59"/>
      <c r="B205" s="60" t="str">
        <f t="shared" si="8"/>
        <v>0484</v>
      </c>
      <c r="C205" s="67" t="s">
        <v>280</v>
      </c>
      <c r="D205" s="24" t="s">
        <v>89</v>
      </c>
      <c r="E205" s="24">
        <v>0.01</v>
      </c>
      <c r="F205" s="24" t="s">
        <v>281</v>
      </c>
      <c r="G205" s="24"/>
      <c r="H205" s="24"/>
      <c r="I205" s="24" t="s">
        <v>38</v>
      </c>
      <c r="J205" s="72" t="s">
        <v>282</v>
      </c>
      <c r="K205" s="48" t="s">
        <v>61</v>
      </c>
    </row>
    <row r="206" s="47" customFormat="1" ht="28.5" outlineLevel="1" spans="1:11">
      <c r="A206" s="59"/>
      <c r="B206" s="60" t="str">
        <f t="shared" si="8"/>
        <v>0485</v>
      </c>
      <c r="C206" s="67" t="s">
        <v>283</v>
      </c>
      <c r="D206" s="24" t="s">
        <v>131</v>
      </c>
      <c r="E206" s="24">
        <v>0.01</v>
      </c>
      <c r="F206" s="24" t="s">
        <v>284</v>
      </c>
      <c r="G206" s="24"/>
      <c r="H206" s="24"/>
      <c r="I206" s="24" t="s">
        <v>38</v>
      </c>
      <c r="J206" s="72" t="s">
        <v>285</v>
      </c>
      <c r="K206" s="48" t="s">
        <v>61</v>
      </c>
    </row>
    <row r="207" s="47" customFormat="1" ht="28.5" outlineLevel="1" spans="1:11">
      <c r="A207" s="59"/>
      <c r="B207" s="60" t="str">
        <f t="shared" si="8"/>
        <v>0486</v>
      </c>
      <c r="C207" s="67" t="s">
        <v>286</v>
      </c>
      <c r="D207" s="24" t="s">
        <v>131</v>
      </c>
      <c r="E207" s="24">
        <v>0.01</v>
      </c>
      <c r="F207" s="24" t="s">
        <v>284</v>
      </c>
      <c r="G207" s="24"/>
      <c r="H207" s="24"/>
      <c r="I207" s="24" t="s">
        <v>38</v>
      </c>
      <c r="J207" s="72" t="s">
        <v>287</v>
      </c>
      <c r="K207" s="48" t="s">
        <v>61</v>
      </c>
    </row>
    <row r="208" s="47" customFormat="1" ht="28.5" outlineLevel="1" spans="1:11">
      <c r="A208" s="59"/>
      <c r="B208" s="60" t="str">
        <f t="shared" si="8"/>
        <v>0487</v>
      </c>
      <c r="C208" s="69" t="s">
        <v>288</v>
      </c>
      <c r="D208" s="24" t="s">
        <v>131</v>
      </c>
      <c r="E208" s="24">
        <v>0.01</v>
      </c>
      <c r="F208" s="24" t="s">
        <v>284</v>
      </c>
      <c r="G208" s="24"/>
      <c r="H208" s="24"/>
      <c r="I208" s="24" t="s">
        <v>38</v>
      </c>
      <c r="J208" s="83" t="s">
        <v>289</v>
      </c>
      <c r="K208" s="48" t="s">
        <v>61</v>
      </c>
    </row>
    <row r="209" s="47" customFormat="1" ht="28.5" outlineLevel="1" spans="1:11">
      <c r="A209" s="59"/>
      <c r="B209" s="60" t="str">
        <f t="shared" si="8"/>
        <v>0488</v>
      </c>
      <c r="C209" s="69" t="s">
        <v>290</v>
      </c>
      <c r="D209" s="24" t="s">
        <v>131</v>
      </c>
      <c r="E209" s="24">
        <v>0.01</v>
      </c>
      <c r="F209" s="24" t="s">
        <v>284</v>
      </c>
      <c r="G209" s="24"/>
      <c r="H209" s="24"/>
      <c r="I209" s="24" t="s">
        <v>38</v>
      </c>
      <c r="J209" s="83" t="s">
        <v>291</v>
      </c>
      <c r="K209" s="48" t="s">
        <v>61</v>
      </c>
    </row>
    <row r="210" s="47" customFormat="1" ht="28.5" outlineLevel="1" spans="1:11">
      <c r="A210" s="59"/>
      <c r="B210" s="60" t="str">
        <f t="shared" si="8"/>
        <v>0489</v>
      </c>
      <c r="C210" s="69" t="s">
        <v>292</v>
      </c>
      <c r="D210" s="24" t="s">
        <v>131</v>
      </c>
      <c r="E210" s="24">
        <v>0.01</v>
      </c>
      <c r="F210" s="24" t="s">
        <v>284</v>
      </c>
      <c r="G210" s="24"/>
      <c r="H210" s="24"/>
      <c r="I210" s="24" t="s">
        <v>38</v>
      </c>
      <c r="J210" s="83" t="s">
        <v>293</v>
      </c>
      <c r="K210" s="48" t="s">
        <v>61</v>
      </c>
    </row>
    <row r="211" s="47" customFormat="1" ht="28.5" outlineLevel="1" spans="1:11">
      <c r="A211" s="59"/>
      <c r="B211" s="60" t="str">
        <f t="shared" si="8"/>
        <v>048A</v>
      </c>
      <c r="C211" s="69" t="s">
        <v>294</v>
      </c>
      <c r="D211" s="24" t="s">
        <v>131</v>
      </c>
      <c r="E211" s="24">
        <v>0.01</v>
      </c>
      <c r="F211" s="24" t="s">
        <v>284</v>
      </c>
      <c r="G211" s="24"/>
      <c r="H211" s="24"/>
      <c r="I211" s="24" t="s">
        <v>38</v>
      </c>
      <c r="J211" s="83" t="s">
        <v>295</v>
      </c>
      <c r="K211" s="48" t="s">
        <v>61</v>
      </c>
    </row>
    <row r="212" s="47" customFormat="1" outlineLevel="1" spans="1:11">
      <c r="A212" s="59"/>
      <c r="B212" s="60" t="str">
        <f t="shared" si="8"/>
        <v>048B</v>
      </c>
      <c r="C212" s="69" t="s">
        <v>296</v>
      </c>
      <c r="D212" s="24"/>
      <c r="E212" s="24"/>
      <c r="F212" s="24"/>
      <c r="G212" s="24"/>
      <c r="H212" s="24"/>
      <c r="I212" s="24" t="s">
        <v>38</v>
      </c>
      <c r="J212" s="83" t="s">
        <v>297</v>
      </c>
      <c r="K212" s="48" t="s">
        <v>61</v>
      </c>
    </row>
    <row r="213" s="47" customFormat="1" outlineLevel="1" spans="1:11">
      <c r="A213" s="59"/>
      <c r="B213" s="60" t="str">
        <f t="shared" si="8"/>
        <v>048C</v>
      </c>
      <c r="C213" s="69" t="s">
        <v>298</v>
      </c>
      <c r="D213" s="59"/>
      <c r="E213" s="59"/>
      <c r="F213" s="59"/>
      <c r="G213" s="59"/>
      <c r="H213" s="59"/>
      <c r="I213" s="24" t="s">
        <v>38</v>
      </c>
      <c r="J213" s="83" t="s">
        <v>299</v>
      </c>
      <c r="K213" s="48" t="s">
        <v>61</v>
      </c>
    </row>
    <row r="214" outlineLevel="1" spans="1:11">
      <c r="A214" s="24"/>
      <c r="B214" s="60" t="str">
        <f t="shared" si="8"/>
        <v>048D</v>
      </c>
      <c r="C214" s="69" t="s">
        <v>300</v>
      </c>
      <c r="D214" s="24" t="s">
        <v>89</v>
      </c>
      <c r="E214" s="24">
        <v>0.1</v>
      </c>
      <c r="F214" s="24" t="s">
        <v>44</v>
      </c>
      <c r="G214" s="24"/>
      <c r="H214" s="24"/>
      <c r="I214" s="24" t="s">
        <v>38</v>
      </c>
      <c r="J214" s="83" t="s">
        <v>301</v>
      </c>
      <c r="K214" s="48" t="s">
        <v>61</v>
      </c>
    </row>
    <row r="215" outlineLevel="1" spans="1:11">
      <c r="A215" s="24"/>
      <c r="B215" s="60" t="str">
        <f t="shared" si="8"/>
        <v>048E</v>
      </c>
      <c r="C215" s="69" t="s">
        <v>302</v>
      </c>
      <c r="D215" s="24" t="s">
        <v>89</v>
      </c>
      <c r="E215" s="24">
        <v>0.01</v>
      </c>
      <c r="F215" s="24" t="s">
        <v>303</v>
      </c>
      <c r="G215" s="24"/>
      <c r="H215" s="24"/>
      <c r="I215" s="24" t="s">
        <v>38</v>
      </c>
      <c r="J215" s="83" t="s">
        <v>304</v>
      </c>
      <c r="K215" s="48" t="s">
        <v>61</v>
      </c>
    </row>
    <row r="216" ht="28.5" outlineLevel="1" spans="1:11">
      <c r="A216" s="24"/>
      <c r="B216" s="60" t="str">
        <f t="shared" si="8"/>
        <v>048F</v>
      </c>
      <c r="C216" s="69" t="s">
        <v>305</v>
      </c>
      <c r="D216" s="24" t="s">
        <v>131</v>
      </c>
      <c r="E216" s="24">
        <v>0.01</v>
      </c>
      <c r="F216" s="24" t="s">
        <v>284</v>
      </c>
      <c r="G216" s="24"/>
      <c r="H216" s="24"/>
      <c r="I216" s="24" t="s">
        <v>38</v>
      </c>
      <c r="J216" s="83" t="s">
        <v>306</v>
      </c>
      <c r="K216" s="48" t="s">
        <v>61</v>
      </c>
    </row>
    <row r="217" ht="42.75" outlineLevel="1" spans="1:11">
      <c r="A217" s="24"/>
      <c r="B217" s="60" t="str">
        <f t="shared" si="8"/>
        <v>0490</v>
      </c>
      <c r="C217" s="69" t="s">
        <v>307</v>
      </c>
      <c r="D217" s="24" t="s">
        <v>131</v>
      </c>
      <c r="E217" s="24">
        <v>0.01</v>
      </c>
      <c r="F217" s="24" t="s">
        <v>284</v>
      </c>
      <c r="G217" s="24"/>
      <c r="H217" s="24"/>
      <c r="I217" s="24" t="s">
        <v>38</v>
      </c>
      <c r="J217" s="83" t="s">
        <v>308</v>
      </c>
      <c r="K217" s="48" t="s">
        <v>61</v>
      </c>
    </row>
    <row r="218" ht="28.5" outlineLevel="1" spans="1:11">
      <c r="A218" s="24"/>
      <c r="B218" s="60" t="str">
        <f t="shared" si="8"/>
        <v>0491</v>
      </c>
      <c r="C218" s="69" t="s">
        <v>309</v>
      </c>
      <c r="D218" s="24" t="s">
        <v>131</v>
      </c>
      <c r="E218" s="76">
        <v>0.001</v>
      </c>
      <c r="F218" s="24" t="s">
        <v>310</v>
      </c>
      <c r="G218" s="24"/>
      <c r="H218" s="24"/>
      <c r="I218" s="24" t="s">
        <v>38</v>
      </c>
      <c r="J218" s="83" t="s">
        <v>311</v>
      </c>
      <c r="K218" s="48" t="s">
        <v>61</v>
      </c>
    </row>
    <row r="219" outlineLevel="1" spans="1:11">
      <c r="A219" s="24"/>
      <c r="B219" s="60" t="str">
        <f t="shared" si="8"/>
        <v>0492</v>
      </c>
      <c r="C219" s="69" t="s">
        <v>312</v>
      </c>
      <c r="D219" s="24" t="s">
        <v>89</v>
      </c>
      <c r="E219" s="76">
        <v>0.01</v>
      </c>
      <c r="F219" s="24" t="s">
        <v>303</v>
      </c>
      <c r="G219" s="24"/>
      <c r="H219" s="24"/>
      <c r="I219" s="24" t="s">
        <v>38</v>
      </c>
      <c r="J219" s="83" t="s">
        <v>313</v>
      </c>
      <c r="K219" s="48" t="s">
        <v>61</v>
      </c>
    </row>
    <row r="220" outlineLevel="1" spans="1:11">
      <c r="A220" s="24"/>
      <c r="B220" s="60" t="str">
        <f t="shared" si="8"/>
        <v>0493</v>
      </c>
      <c r="C220" s="69" t="s">
        <v>314</v>
      </c>
      <c r="D220" s="24" t="s">
        <v>131</v>
      </c>
      <c r="E220" s="76">
        <v>0.01</v>
      </c>
      <c r="F220" s="24" t="s">
        <v>284</v>
      </c>
      <c r="G220" s="24"/>
      <c r="H220" s="24"/>
      <c r="I220" s="24" t="s">
        <v>38</v>
      </c>
      <c r="J220" s="83" t="s">
        <v>315</v>
      </c>
      <c r="K220" s="48" t="s">
        <v>61</v>
      </c>
    </row>
    <row r="221" ht="28.5" outlineLevel="1" spans="1:11">
      <c r="A221" s="24"/>
      <c r="B221" s="60" t="str">
        <f t="shared" si="8"/>
        <v>0494</v>
      </c>
      <c r="C221" s="69" t="s">
        <v>316</v>
      </c>
      <c r="D221" s="24" t="s">
        <v>131</v>
      </c>
      <c r="E221" s="76">
        <v>0.01</v>
      </c>
      <c r="F221" s="24" t="s">
        <v>284</v>
      </c>
      <c r="G221" s="24"/>
      <c r="H221" s="24"/>
      <c r="I221" s="24" t="s">
        <v>38</v>
      </c>
      <c r="J221" s="83" t="s">
        <v>317</v>
      </c>
      <c r="K221" s="48" t="s">
        <v>61</v>
      </c>
    </row>
    <row r="222" ht="28.5" outlineLevel="1" spans="1:11">
      <c r="A222" s="24"/>
      <c r="B222" s="60" t="str">
        <f t="shared" si="8"/>
        <v>0495</v>
      </c>
      <c r="C222" s="69" t="s">
        <v>318</v>
      </c>
      <c r="D222" s="24" t="s">
        <v>131</v>
      </c>
      <c r="E222" s="76">
        <v>0.001</v>
      </c>
      <c r="F222" s="24" t="s">
        <v>310</v>
      </c>
      <c r="G222" s="24"/>
      <c r="H222" s="24"/>
      <c r="I222" s="24" t="s">
        <v>38</v>
      </c>
      <c r="J222" s="83" t="s">
        <v>319</v>
      </c>
      <c r="K222" s="48" t="s">
        <v>61</v>
      </c>
    </row>
    <row r="223" outlineLevel="1" spans="1:11">
      <c r="A223" s="24"/>
      <c r="B223" s="60" t="str">
        <f t="shared" si="8"/>
        <v>0496</v>
      </c>
      <c r="C223" s="69" t="s">
        <v>320</v>
      </c>
      <c r="D223" s="24"/>
      <c r="E223" s="76"/>
      <c r="F223" s="24"/>
      <c r="G223" s="24"/>
      <c r="H223" s="24"/>
      <c r="I223" s="24" t="s">
        <v>38</v>
      </c>
      <c r="J223" s="83" t="s">
        <v>321</v>
      </c>
      <c r="K223" s="48" t="s">
        <v>61</v>
      </c>
    </row>
    <row r="224" outlineLevel="1" spans="1:11">
      <c r="A224" s="24"/>
      <c r="B224" s="60" t="str">
        <f t="shared" si="8"/>
        <v>0497</v>
      </c>
      <c r="C224" s="69" t="s">
        <v>322</v>
      </c>
      <c r="D224" s="24"/>
      <c r="E224" s="76"/>
      <c r="F224" s="24"/>
      <c r="G224" s="24"/>
      <c r="H224" s="24"/>
      <c r="I224" s="24" t="s">
        <v>38</v>
      </c>
      <c r="J224" s="83" t="s">
        <v>323</v>
      </c>
      <c r="K224" s="48" t="s">
        <v>61</v>
      </c>
    </row>
    <row r="225" outlineLevel="1" spans="1:11">
      <c r="A225" s="24"/>
      <c r="B225" s="60" t="str">
        <f t="shared" si="8"/>
        <v>0498</v>
      </c>
      <c r="C225" s="67" t="s">
        <v>324</v>
      </c>
      <c r="D225" s="24" t="s">
        <v>89</v>
      </c>
      <c r="E225" s="76">
        <v>0.1</v>
      </c>
      <c r="F225" s="24" t="s">
        <v>44</v>
      </c>
      <c r="G225" s="24"/>
      <c r="H225" s="24"/>
      <c r="I225" s="24" t="s">
        <v>38</v>
      </c>
      <c r="J225" s="83" t="s">
        <v>325</v>
      </c>
      <c r="K225" s="48" t="s">
        <v>61</v>
      </c>
    </row>
    <row r="226" outlineLevel="1" spans="1:11">
      <c r="A226" s="24"/>
      <c r="B226" s="60" t="str">
        <f t="shared" si="8"/>
        <v>0499</v>
      </c>
      <c r="C226" s="69" t="s">
        <v>326</v>
      </c>
      <c r="D226" s="24" t="s">
        <v>89</v>
      </c>
      <c r="E226" s="76">
        <v>0.01</v>
      </c>
      <c r="F226" s="24" t="s">
        <v>303</v>
      </c>
      <c r="G226" s="24"/>
      <c r="H226" s="24"/>
      <c r="I226" s="24" t="s">
        <v>38</v>
      </c>
      <c r="J226" s="83" t="s">
        <v>327</v>
      </c>
      <c r="K226" s="48" t="s">
        <v>61</v>
      </c>
    </row>
    <row r="227" ht="28.5" outlineLevel="1" spans="1:11">
      <c r="A227" s="24"/>
      <c r="B227" s="60" t="str">
        <f t="shared" si="8"/>
        <v>049A</v>
      </c>
      <c r="C227" s="69" t="s">
        <v>328</v>
      </c>
      <c r="D227" s="24" t="s">
        <v>131</v>
      </c>
      <c r="E227" s="76">
        <v>0.01</v>
      </c>
      <c r="F227" s="24" t="s">
        <v>284</v>
      </c>
      <c r="G227" s="24"/>
      <c r="H227" s="24"/>
      <c r="I227" s="24" t="s">
        <v>38</v>
      </c>
      <c r="J227" s="83" t="s">
        <v>329</v>
      </c>
      <c r="K227" s="48" t="s">
        <v>61</v>
      </c>
    </row>
    <row r="228" ht="42.75" outlineLevel="1" spans="1:11">
      <c r="A228" s="24"/>
      <c r="B228" s="60" t="str">
        <f t="shared" si="8"/>
        <v>049B</v>
      </c>
      <c r="C228" s="69" t="s">
        <v>330</v>
      </c>
      <c r="D228" s="24" t="s">
        <v>131</v>
      </c>
      <c r="E228" s="76">
        <v>0.01</v>
      </c>
      <c r="F228" s="24" t="s">
        <v>284</v>
      </c>
      <c r="G228" s="24"/>
      <c r="H228" s="24"/>
      <c r="I228" s="24" t="s">
        <v>38</v>
      </c>
      <c r="J228" s="83" t="s">
        <v>331</v>
      </c>
      <c r="K228" s="48" t="s">
        <v>61</v>
      </c>
    </row>
    <row r="229" ht="28.5" outlineLevel="1" spans="1:11">
      <c r="A229" s="24"/>
      <c r="B229" s="60" t="str">
        <f t="shared" si="8"/>
        <v>049C</v>
      </c>
      <c r="C229" s="69" t="s">
        <v>332</v>
      </c>
      <c r="D229" s="24" t="s">
        <v>131</v>
      </c>
      <c r="E229" s="76">
        <v>0.001</v>
      </c>
      <c r="F229" s="24" t="s">
        <v>310</v>
      </c>
      <c r="G229" s="24"/>
      <c r="H229" s="24"/>
      <c r="I229" s="24" t="s">
        <v>38</v>
      </c>
      <c r="J229" s="83" t="s">
        <v>333</v>
      </c>
      <c r="K229" s="48" t="s">
        <v>61</v>
      </c>
    </row>
    <row r="230" outlineLevel="1" spans="1:11">
      <c r="A230" s="24"/>
      <c r="B230" s="60" t="str">
        <f t="shared" si="8"/>
        <v>049D</v>
      </c>
      <c r="C230" s="69" t="s">
        <v>334</v>
      </c>
      <c r="D230" s="24" t="s">
        <v>89</v>
      </c>
      <c r="E230" s="76">
        <v>0.01</v>
      </c>
      <c r="F230" s="24" t="s">
        <v>303</v>
      </c>
      <c r="G230" s="24"/>
      <c r="H230" s="24"/>
      <c r="I230" s="24" t="s">
        <v>38</v>
      </c>
      <c r="J230" s="83" t="s">
        <v>335</v>
      </c>
      <c r="K230" s="48" t="s">
        <v>61</v>
      </c>
    </row>
    <row r="231" ht="28.5" outlineLevel="1" spans="1:11">
      <c r="A231" s="24"/>
      <c r="B231" s="60" t="str">
        <f t="shared" si="8"/>
        <v>049E</v>
      </c>
      <c r="C231" s="69" t="s">
        <v>336</v>
      </c>
      <c r="D231" s="24" t="s">
        <v>131</v>
      </c>
      <c r="E231" s="76">
        <v>0.01</v>
      </c>
      <c r="F231" s="24" t="s">
        <v>284</v>
      </c>
      <c r="G231" s="24"/>
      <c r="H231" s="24"/>
      <c r="I231" s="24" t="s">
        <v>38</v>
      </c>
      <c r="J231" s="83" t="s">
        <v>337</v>
      </c>
      <c r="K231" s="48" t="s">
        <v>61</v>
      </c>
    </row>
    <row r="232" ht="28.5" outlineLevel="1" spans="1:11">
      <c r="A232" s="24"/>
      <c r="B232" s="60" t="str">
        <f t="shared" si="8"/>
        <v>049F</v>
      </c>
      <c r="C232" s="69" t="s">
        <v>338</v>
      </c>
      <c r="D232" s="24" t="s">
        <v>131</v>
      </c>
      <c r="E232" s="76">
        <v>0.01</v>
      </c>
      <c r="F232" s="24" t="s">
        <v>284</v>
      </c>
      <c r="G232" s="24"/>
      <c r="H232" s="24"/>
      <c r="I232" s="24" t="s">
        <v>38</v>
      </c>
      <c r="J232" s="83" t="s">
        <v>339</v>
      </c>
      <c r="K232" s="48" t="s">
        <v>61</v>
      </c>
    </row>
    <row r="233" ht="28.5" outlineLevel="1" spans="1:11">
      <c r="A233" s="24"/>
      <c r="B233" s="60" t="str">
        <f t="shared" si="8"/>
        <v>04A0</v>
      </c>
      <c r="C233" s="69" t="s">
        <v>340</v>
      </c>
      <c r="D233" s="24" t="s">
        <v>131</v>
      </c>
      <c r="E233" s="76">
        <v>0.001</v>
      </c>
      <c r="F233" s="24" t="s">
        <v>310</v>
      </c>
      <c r="G233" s="24"/>
      <c r="H233" s="24"/>
      <c r="I233" s="24" t="s">
        <v>38</v>
      </c>
      <c r="J233" s="83" t="s">
        <v>341</v>
      </c>
      <c r="K233" s="48" t="s">
        <v>61</v>
      </c>
    </row>
    <row r="234" outlineLevel="1" spans="1:11">
      <c r="A234" s="24"/>
      <c r="B234" s="60" t="str">
        <f t="shared" si="8"/>
        <v>04A1</v>
      </c>
      <c r="C234" s="69" t="s">
        <v>342</v>
      </c>
      <c r="D234" s="24"/>
      <c r="E234" s="76"/>
      <c r="F234" s="24"/>
      <c r="G234" s="24"/>
      <c r="H234" s="24"/>
      <c r="I234" s="24" t="s">
        <v>38</v>
      </c>
      <c r="J234" s="83" t="s">
        <v>343</v>
      </c>
      <c r="K234" s="48" t="s">
        <v>61</v>
      </c>
    </row>
    <row r="235" outlineLevel="1" spans="1:11">
      <c r="A235" s="24"/>
      <c r="B235" s="60" t="str">
        <f t="shared" si="8"/>
        <v>04A2</v>
      </c>
      <c r="C235" s="69" t="s">
        <v>344</v>
      </c>
      <c r="D235" s="24"/>
      <c r="E235" s="76"/>
      <c r="F235" s="24"/>
      <c r="G235" s="24"/>
      <c r="H235" s="24"/>
      <c r="I235" s="24" t="s">
        <v>38</v>
      </c>
      <c r="J235" s="83" t="s">
        <v>345</v>
      </c>
      <c r="K235" s="48" t="s">
        <v>61</v>
      </c>
    </row>
    <row r="236" outlineLevel="1" spans="1:11">
      <c r="A236" s="24"/>
      <c r="B236" s="60" t="str">
        <f t="shared" si="8"/>
        <v>04A3</v>
      </c>
      <c r="C236" s="69" t="s">
        <v>346</v>
      </c>
      <c r="D236" s="24" t="s">
        <v>89</v>
      </c>
      <c r="E236" s="76">
        <v>0.1</v>
      </c>
      <c r="F236" s="24" t="s">
        <v>44</v>
      </c>
      <c r="G236" s="24"/>
      <c r="H236" s="24"/>
      <c r="I236" s="24" t="s">
        <v>38</v>
      </c>
      <c r="J236" s="83" t="s">
        <v>347</v>
      </c>
      <c r="K236" s="48" t="s">
        <v>61</v>
      </c>
    </row>
    <row r="237" outlineLevel="1" spans="1:11">
      <c r="A237" s="24"/>
      <c r="B237" s="60" t="str">
        <f t="shared" si="8"/>
        <v>04A4</v>
      </c>
      <c r="C237" s="69" t="s">
        <v>348</v>
      </c>
      <c r="D237" s="24" t="s">
        <v>89</v>
      </c>
      <c r="E237" s="76">
        <v>0.01</v>
      </c>
      <c r="F237" s="24" t="s">
        <v>303</v>
      </c>
      <c r="G237" s="24"/>
      <c r="H237" s="24"/>
      <c r="I237" s="24" t="s">
        <v>38</v>
      </c>
      <c r="J237" s="83" t="s">
        <v>349</v>
      </c>
      <c r="K237" s="48" t="s">
        <v>61</v>
      </c>
    </row>
    <row r="238" ht="28.5" outlineLevel="1" spans="1:11">
      <c r="A238" s="24"/>
      <c r="B238" s="60" t="str">
        <f t="shared" si="8"/>
        <v>04A5</v>
      </c>
      <c r="C238" s="69" t="s">
        <v>350</v>
      </c>
      <c r="D238" s="24" t="s">
        <v>131</v>
      </c>
      <c r="E238" s="76">
        <v>0.01</v>
      </c>
      <c r="F238" s="24" t="s">
        <v>284</v>
      </c>
      <c r="G238" s="24"/>
      <c r="H238" s="24"/>
      <c r="I238" s="24" t="s">
        <v>38</v>
      </c>
      <c r="J238" s="83" t="s">
        <v>351</v>
      </c>
      <c r="K238" s="48" t="s">
        <v>61</v>
      </c>
    </row>
    <row r="239" ht="42.75" outlineLevel="1" spans="1:11">
      <c r="A239" s="24"/>
      <c r="B239" s="60" t="str">
        <f t="shared" si="8"/>
        <v>04A6</v>
      </c>
      <c r="C239" s="69" t="s">
        <v>352</v>
      </c>
      <c r="D239" s="24" t="s">
        <v>131</v>
      </c>
      <c r="E239" s="76">
        <v>0.01</v>
      </c>
      <c r="F239" s="24" t="s">
        <v>284</v>
      </c>
      <c r="G239" s="24"/>
      <c r="H239" s="24"/>
      <c r="I239" s="24" t="s">
        <v>38</v>
      </c>
      <c r="J239" s="83" t="s">
        <v>353</v>
      </c>
      <c r="K239" s="48" t="s">
        <v>61</v>
      </c>
    </row>
    <row r="240" ht="28.5" outlineLevel="1" spans="1:11">
      <c r="A240" s="24"/>
      <c r="B240" s="60" t="str">
        <f t="shared" si="8"/>
        <v>04A7</v>
      </c>
      <c r="C240" s="69" t="s">
        <v>354</v>
      </c>
      <c r="D240" s="24" t="s">
        <v>131</v>
      </c>
      <c r="E240" s="76">
        <v>0.001</v>
      </c>
      <c r="F240" s="24" t="s">
        <v>310</v>
      </c>
      <c r="G240" s="24"/>
      <c r="H240" s="24"/>
      <c r="I240" s="24" t="s">
        <v>38</v>
      </c>
      <c r="J240" s="83" t="s">
        <v>355</v>
      </c>
      <c r="K240" s="48" t="s">
        <v>61</v>
      </c>
    </row>
    <row r="241" outlineLevel="1" spans="1:11">
      <c r="A241" s="24"/>
      <c r="B241" s="60" t="str">
        <f t="shared" si="8"/>
        <v>04A8</v>
      </c>
      <c r="C241" s="69" t="s">
        <v>356</v>
      </c>
      <c r="D241" s="24" t="s">
        <v>89</v>
      </c>
      <c r="E241" s="24">
        <v>0.01</v>
      </c>
      <c r="F241" s="24" t="s">
        <v>303</v>
      </c>
      <c r="G241" s="24"/>
      <c r="H241" s="24"/>
      <c r="I241" s="24" t="s">
        <v>38</v>
      </c>
      <c r="J241" s="83" t="s">
        <v>357</v>
      </c>
      <c r="K241" s="48" t="s">
        <v>61</v>
      </c>
    </row>
    <row r="242" ht="28.5" outlineLevel="1" spans="1:11">
      <c r="A242" s="24"/>
      <c r="B242" s="60" t="str">
        <f t="shared" si="8"/>
        <v>04A9</v>
      </c>
      <c r="C242" s="69" t="s">
        <v>358</v>
      </c>
      <c r="D242" s="24" t="s">
        <v>131</v>
      </c>
      <c r="E242" s="24">
        <v>0.01</v>
      </c>
      <c r="F242" s="24" t="s">
        <v>284</v>
      </c>
      <c r="G242" s="24"/>
      <c r="H242" s="24"/>
      <c r="I242" s="24" t="s">
        <v>38</v>
      </c>
      <c r="J242" s="83" t="s">
        <v>359</v>
      </c>
      <c r="K242" s="48" t="s">
        <v>61</v>
      </c>
    </row>
    <row r="243" ht="28.5" outlineLevel="1" spans="1:11">
      <c r="A243" s="24"/>
      <c r="B243" s="60" t="str">
        <f t="shared" si="8"/>
        <v>04AA</v>
      </c>
      <c r="C243" s="69" t="s">
        <v>360</v>
      </c>
      <c r="D243" s="24" t="s">
        <v>131</v>
      </c>
      <c r="E243" s="24">
        <v>0.01</v>
      </c>
      <c r="F243" s="24" t="s">
        <v>284</v>
      </c>
      <c r="G243" s="24"/>
      <c r="H243" s="24"/>
      <c r="I243" s="24" t="s">
        <v>38</v>
      </c>
      <c r="J243" s="83" t="s">
        <v>361</v>
      </c>
      <c r="K243" s="48" t="s">
        <v>61</v>
      </c>
    </row>
    <row r="244" ht="28.5" outlineLevel="1" spans="1:11">
      <c r="A244" s="24"/>
      <c r="B244" s="60" t="str">
        <f t="shared" si="8"/>
        <v>04AB</v>
      </c>
      <c r="C244" s="69" t="s">
        <v>362</v>
      </c>
      <c r="D244" s="24" t="s">
        <v>131</v>
      </c>
      <c r="E244" s="76">
        <v>0.001</v>
      </c>
      <c r="F244" s="24" t="s">
        <v>310</v>
      </c>
      <c r="G244" s="24"/>
      <c r="H244" s="24"/>
      <c r="I244" s="24" t="s">
        <v>38</v>
      </c>
      <c r="J244" s="83" t="s">
        <v>363</v>
      </c>
      <c r="K244" s="48" t="s">
        <v>61</v>
      </c>
    </row>
    <row r="245" outlineLevel="1" spans="1:11">
      <c r="A245" s="24"/>
      <c r="B245" s="60" t="str">
        <f t="shared" si="8"/>
        <v>04AC</v>
      </c>
      <c r="C245" s="69" t="s">
        <v>364</v>
      </c>
      <c r="D245" s="24"/>
      <c r="E245" s="82"/>
      <c r="F245" s="24"/>
      <c r="G245" s="24"/>
      <c r="H245" s="24"/>
      <c r="I245" s="24" t="s">
        <v>38</v>
      </c>
      <c r="J245" s="83" t="s">
        <v>365</v>
      </c>
      <c r="K245" s="48" t="s">
        <v>61</v>
      </c>
    </row>
    <row r="246" outlineLevel="1" spans="1:11">
      <c r="A246" s="24"/>
      <c r="B246" s="60" t="str">
        <f t="shared" si="8"/>
        <v>04AD</v>
      </c>
      <c r="C246" s="69" t="s">
        <v>366</v>
      </c>
      <c r="D246" s="24"/>
      <c r="E246" s="24"/>
      <c r="F246" s="24"/>
      <c r="G246" s="24"/>
      <c r="H246" s="24"/>
      <c r="I246" s="24" t="s">
        <v>38</v>
      </c>
      <c r="J246" s="83" t="s">
        <v>367</v>
      </c>
      <c r="K246" s="48" t="s">
        <v>61</v>
      </c>
    </row>
    <row r="247" outlineLevel="1" spans="1:11">
      <c r="A247" s="24"/>
      <c r="B247" s="60" t="str">
        <f t="shared" si="8"/>
        <v>04AE</v>
      </c>
      <c r="C247" s="67" t="s">
        <v>368</v>
      </c>
      <c r="D247" s="24" t="s">
        <v>89</v>
      </c>
      <c r="E247" s="24">
        <v>0.01</v>
      </c>
      <c r="F247" s="24" t="s">
        <v>284</v>
      </c>
      <c r="G247" s="24"/>
      <c r="H247" s="24"/>
      <c r="I247" s="24" t="s">
        <v>38</v>
      </c>
      <c r="J247" s="83" t="s">
        <v>369</v>
      </c>
      <c r="K247" s="48" t="s">
        <v>61</v>
      </c>
    </row>
    <row r="248" outlineLevel="1" spans="1:11">
      <c r="A248" s="24"/>
      <c r="B248" s="60" t="str">
        <f t="shared" si="8"/>
        <v>04AF</v>
      </c>
      <c r="C248" s="67" t="s">
        <v>370</v>
      </c>
      <c r="D248" s="24" t="s">
        <v>89</v>
      </c>
      <c r="E248" s="24">
        <v>0.01</v>
      </c>
      <c r="F248" s="24" t="s">
        <v>284</v>
      </c>
      <c r="G248" s="24"/>
      <c r="H248" s="24"/>
      <c r="I248" s="24" t="s">
        <v>38</v>
      </c>
      <c r="J248" s="83" t="s">
        <v>371</v>
      </c>
      <c r="K248" s="48" t="s">
        <v>61</v>
      </c>
    </row>
    <row r="249" outlineLevel="1" spans="1:11">
      <c r="A249" s="24"/>
      <c r="B249" s="60" t="str">
        <f t="shared" si="8"/>
        <v>04B0</v>
      </c>
      <c r="C249" s="67" t="s">
        <v>372</v>
      </c>
      <c r="D249" s="59" t="s">
        <v>89</v>
      </c>
      <c r="E249" s="59">
        <v>0.1</v>
      </c>
      <c r="F249" s="59" t="s">
        <v>44</v>
      </c>
      <c r="G249" s="59"/>
      <c r="H249" s="59"/>
      <c r="I249" s="59" t="s">
        <v>38</v>
      </c>
      <c r="J249" s="83" t="s">
        <v>373</v>
      </c>
      <c r="K249" s="48" t="s">
        <v>61</v>
      </c>
    </row>
    <row r="250" outlineLevel="1" spans="1:11">
      <c r="A250" s="24"/>
      <c r="B250" s="60" t="str">
        <f t="shared" si="8"/>
        <v>04B1</v>
      </c>
      <c r="C250" s="78" t="s">
        <v>374</v>
      </c>
      <c r="D250" s="59" t="s">
        <v>89</v>
      </c>
      <c r="E250" s="59">
        <v>0.01</v>
      </c>
      <c r="F250" s="59" t="s">
        <v>303</v>
      </c>
      <c r="G250" s="59"/>
      <c r="H250" s="59"/>
      <c r="I250" s="59" t="s">
        <v>38</v>
      </c>
      <c r="J250" s="83" t="s">
        <v>375</v>
      </c>
      <c r="K250" s="48" t="s">
        <v>61</v>
      </c>
    </row>
    <row r="251" outlineLevel="1" spans="1:11">
      <c r="A251" s="24"/>
      <c r="B251" s="60" t="str">
        <f t="shared" si="8"/>
        <v>04B2</v>
      </c>
      <c r="C251" s="78" t="s">
        <v>376</v>
      </c>
      <c r="D251" s="59" t="s">
        <v>131</v>
      </c>
      <c r="E251" s="59">
        <v>0.01</v>
      </c>
      <c r="F251" s="59" t="s">
        <v>284</v>
      </c>
      <c r="G251" s="59"/>
      <c r="H251" s="59"/>
      <c r="I251" s="59" t="s">
        <v>38</v>
      </c>
      <c r="J251" s="83" t="s">
        <v>377</v>
      </c>
      <c r="K251" s="48" t="s">
        <v>61</v>
      </c>
    </row>
    <row r="252" outlineLevel="1" spans="1:11">
      <c r="A252" s="24" t="s">
        <v>378</v>
      </c>
      <c r="B252" s="60" t="str">
        <f t="shared" si="8"/>
        <v>04B3</v>
      </c>
      <c r="C252" s="78" t="s">
        <v>379</v>
      </c>
      <c r="D252" s="59" t="s">
        <v>89</v>
      </c>
      <c r="E252" s="59">
        <v>0.01</v>
      </c>
      <c r="F252" s="59" t="s">
        <v>303</v>
      </c>
      <c r="G252" s="59"/>
      <c r="H252" s="59"/>
      <c r="I252" s="59" t="s">
        <v>38</v>
      </c>
      <c r="J252" s="83" t="s">
        <v>380</v>
      </c>
      <c r="K252" s="48" t="s">
        <v>61</v>
      </c>
    </row>
    <row r="253" outlineLevel="1" spans="1:11">
      <c r="A253" s="24"/>
      <c r="B253" s="60" t="str">
        <f t="shared" si="8"/>
        <v>04B4</v>
      </c>
      <c r="C253" s="78" t="s">
        <v>381</v>
      </c>
      <c r="D253" s="59" t="s">
        <v>131</v>
      </c>
      <c r="E253" s="59">
        <v>0.01</v>
      </c>
      <c r="F253" s="59" t="s">
        <v>284</v>
      </c>
      <c r="G253" s="59"/>
      <c r="H253" s="59"/>
      <c r="I253" s="59" t="s">
        <v>38</v>
      </c>
      <c r="J253" s="83" t="s">
        <v>382</v>
      </c>
      <c r="K253" s="48" t="s">
        <v>61</v>
      </c>
    </row>
    <row r="254" outlineLevel="1" spans="1:11">
      <c r="A254" s="24"/>
      <c r="B254" s="60" t="str">
        <f t="shared" si="8"/>
        <v>04B5</v>
      </c>
      <c r="C254" s="78" t="s">
        <v>383</v>
      </c>
      <c r="D254" s="59" t="s">
        <v>89</v>
      </c>
      <c r="E254" s="59">
        <v>0.1</v>
      </c>
      <c r="F254" s="59" t="s">
        <v>44</v>
      </c>
      <c r="G254" s="59"/>
      <c r="H254" s="59"/>
      <c r="I254" s="59" t="s">
        <v>38</v>
      </c>
      <c r="J254" s="83" t="s">
        <v>384</v>
      </c>
      <c r="K254" s="48" t="s">
        <v>61</v>
      </c>
    </row>
    <row r="255" outlineLevel="1" spans="1:11">
      <c r="A255" s="24"/>
      <c r="B255" s="60" t="str">
        <f t="shared" si="8"/>
        <v>04B6</v>
      </c>
      <c r="C255" s="78" t="s">
        <v>385</v>
      </c>
      <c r="D255" s="59" t="s">
        <v>89</v>
      </c>
      <c r="E255" s="59">
        <v>0.01</v>
      </c>
      <c r="F255" s="59" t="s">
        <v>303</v>
      </c>
      <c r="G255" s="59"/>
      <c r="H255" s="59"/>
      <c r="I255" s="59" t="s">
        <v>38</v>
      </c>
      <c r="J255" s="83" t="s">
        <v>386</v>
      </c>
      <c r="K255" s="48" t="s">
        <v>61</v>
      </c>
    </row>
    <row r="256" outlineLevel="1" spans="1:11">
      <c r="A256" s="24"/>
      <c r="B256" s="60" t="str">
        <f t="shared" si="8"/>
        <v>04B7</v>
      </c>
      <c r="C256" s="78" t="s">
        <v>387</v>
      </c>
      <c r="D256" s="59" t="s">
        <v>131</v>
      </c>
      <c r="E256" s="59">
        <v>0.01</v>
      </c>
      <c r="F256" s="59" t="s">
        <v>284</v>
      </c>
      <c r="G256" s="59"/>
      <c r="H256" s="59"/>
      <c r="I256" s="59" t="s">
        <v>38</v>
      </c>
      <c r="J256" s="83" t="s">
        <v>388</v>
      </c>
      <c r="K256" s="48" t="s">
        <v>61</v>
      </c>
    </row>
    <row r="257" outlineLevel="1" spans="1:11">
      <c r="A257" s="24"/>
      <c r="B257" s="60" t="str">
        <f t="shared" si="8"/>
        <v>04B8</v>
      </c>
      <c r="C257" s="78" t="s">
        <v>389</v>
      </c>
      <c r="D257" s="59" t="s">
        <v>89</v>
      </c>
      <c r="E257" s="59">
        <v>0.01</v>
      </c>
      <c r="F257" s="59" t="s">
        <v>303</v>
      </c>
      <c r="G257" s="59"/>
      <c r="H257" s="59"/>
      <c r="I257" s="59" t="s">
        <v>38</v>
      </c>
      <c r="J257" s="83" t="s">
        <v>390</v>
      </c>
      <c r="K257" s="48" t="s">
        <v>61</v>
      </c>
    </row>
    <row r="258" outlineLevel="1" spans="1:11">
      <c r="A258" s="24"/>
      <c r="B258" s="60" t="str">
        <f t="shared" si="8"/>
        <v>04B9</v>
      </c>
      <c r="C258" s="78" t="s">
        <v>391</v>
      </c>
      <c r="D258" s="59" t="s">
        <v>131</v>
      </c>
      <c r="E258" s="59">
        <v>0.01</v>
      </c>
      <c r="F258" s="59" t="s">
        <v>284</v>
      </c>
      <c r="G258" s="59"/>
      <c r="H258" s="59"/>
      <c r="I258" s="59" t="s">
        <v>38</v>
      </c>
      <c r="J258" s="83" t="s">
        <v>388</v>
      </c>
      <c r="K258" s="48" t="s">
        <v>61</v>
      </c>
    </row>
    <row r="259" outlineLevel="1" spans="1:11">
      <c r="A259" s="24"/>
      <c r="B259" s="60" t="str">
        <f t="shared" si="8"/>
        <v>04BA</v>
      </c>
      <c r="C259" s="67" t="s">
        <v>392</v>
      </c>
      <c r="D259" s="24" t="s">
        <v>89</v>
      </c>
      <c r="E259" s="24">
        <v>0.1</v>
      </c>
      <c r="F259" s="24" t="s">
        <v>44</v>
      </c>
      <c r="G259" s="24"/>
      <c r="H259" s="24"/>
      <c r="I259" s="24" t="s">
        <v>38</v>
      </c>
      <c r="J259" s="83" t="s">
        <v>393</v>
      </c>
      <c r="K259" s="48" t="s">
        <v>61</v>
      </c>
    </row>
    <row r="260" outlineLevel="1" spans="1:11">
      <c r="A260" s="24"/>
      <c r="B260" s="60" t="str">
        <f t="shared" si="8"/>
        <v>04BB</v>
      </c>
      <c r="C260" s="67" t="s">
        <v>394</v>
      </c>
      <c r="D260" s="24" t="s">
        <v>89</v>
      </c>
      <c r="E260" s="24">
        <v>0.1</v>
      </c>
      <c r="F260" s="24" t="s">
        <v>44</v>
      </c>
      <c r="G260" s="24"/>
      <c r="H260" s="24"/>
      <c r="I260" s="24" t="s">
        <v>38</v>
      </c>
      <c r="J260" s="83" t="s">
        <v>395</v>
      </c>
      <c r="K260" s="48" t="s">
        <v>61</v>
      </c>
    </row>
    <row r="261" outlineLevel="1" spans="1:11">
      <c r="A261" s="24"/>
      <c r="B261" s="60" t="str">
        <f t="shared" si="8"/>
        <v>04BC</v>
      </c>
      <c r="C261" s="67" t="s">
        <v>396</v>
      </c>
      <c r="D261" s="24" t="s">
        <v>89</v>
      </c>
      <c r="E261" s="24">
        <v>0.1</v>
      </c>
      <c r="F261" s="24" t="s">
        <v>44</v>
      </c>
      <c r="G261" s="24"/>
      <c r="H261" s="24"/>
      <c r="I261" s="24" t="s">
        <v>38</v>
      </c>
      <c r="J261" s="83" t="s">
        <v>397</v>
      </c>
      <c r="K261" s="48" t="s">
        <v>61</v>
      </c>
    </row>
    <row r="262" outlineLevel="1" spans="1:11">
      <c r="A262" s="24"/>
      <c r="B262" s="60" t="str">
        <f t="shared" si="8"/>
        <v>04BD</v>
      </c>
      <c r="C262" s="67"/>
      <c r="D262" s="24"/>
      <c r="E262" s="24"/>
      <c r="F262" s="24"/>
      <c r="G262" s="24"/>
      <c r="H262" s="24"/>
      <c r="I262" s="24"/>
      <c r="J262" s="67"/>
      <c r="K262" s="24"/>
    </row>
    <row r="263" outlineLevel="1" spans="1:11">
      <c r="A263" s="24"/>
      <c r="B263" s="60" t="str">
        <f t="shared" si="8"/>
        <v>04BE</v>
      </c>
      <c r="C263" s="67"/>
      <c r="D263" s="24"/>
      <c r="E263" s="24"/>
      <c r="F263" s="24"/>
      <c r="G263" s="24"/>
      <c r="H263" s="24"/>
      <c r="I263" s="24"/>
      <c r="J263" s="67"/>
      <c r="K263" s="24"/>
    </row>
    <row r="264" outlineLevel="1" spans="1:11">
      <c r="A264" s="24"/>
      <c r="B264" s="60" t="str">
        <f t="shared" si="8"/>
        <v>04BF</v>
      </c>
      <c r="C264" s="67"/>
      <c r="D264" s="24"/>
      <c r="E264" s="24"/>
      <c r="F264" s="24"/>
      <c r="G264" s="24"/>
      <c r="H264" s="24"/>
      <c r="I264" s="24"/>
      <c r="J264" s="67"/>
      <c r="K264" s="24"/>
    </row>
    <row r="265" outlineLevel="1" spans="1:11">
      <c r="A265" s="24"/>
      <c r="B265" s="60" t="str">
        <f t="shared" ref="B265:B276" si="9">DEC2HEX(1152+ROW()-ROW($B$201),4)</f>
        <v>04C0</v>
      </c>
      <c r="C265" s="67"/>
      <c r="D265" s="24"/>
      <c r="E265" s="24"/>
      <c r="F265" s="24"/>
      <c r="G265" s="24"/>
      <c r="H265" s="24"/>
      <c r="I265" s="24"/>
      <c r="J265" s="67"/>
      <c r="K265" s="24"/>
    </row>
    <row r="266" outlineLevel="1" spans="1:11">
      <c r="A266" s="24"/>
      <c r="B266" s="60" t="str">
        <f t="shared" si="9"/>
        <v>04C1</v>
      </c>
      <c r="C266" s="67"/>
      <c r="D266" s="24"/>
      <c r="E266" s="24"/>
      <c r="F266" s="24"/>
      <c r="G266" s="24"/>
      <c r="H266" s="24"/>
      <c r="I266" s="24"/>
      <c r="J266" s="67"/>
      <c r="K266" s="24"/>
    </row>
    <row r="267" outlineLevel="1" spans="1:11">
      <c r="A267" s="24"/>
      <c r="B267" s="60" t="str">
        <f t="shared" si="9"/>
        <v>04C2</v>
      </c>
      <c r="C267" s="67"/>
      <c r="D267" s="24"/>
      <c r="E267" s="24"/>
      <c r="F267" s="24"/>
      <c r="G267" s="24"/>
      <c r="H267" s="24"/>
      <c r="I267" s="24"/>
      <c r="J267" s="67"/>
      <c r="K267" s="24"/>
    </row>
    <row r="268" outlineLevel="1" spans="1:11">
      <c r="A268" s="24"/>
      <c r="B268" s="60" t="str">
        <f t="shared" si="9"/>
        <v>04C3</v>
      </c>
      <c r="C268" s="67"/>
      <c r="D268" s="24"/>
      <c r="E268" s="24"/>
      <c r="F268" s="24"/>
      <c r="G268" s="24"/>
      <c r="H268" s="24"/>
      <c r="I268" s="24"/>
      <c r="J268" s="67"/>
      <c r="K268" s="24"/>
    </row>
    <row r="269" outlineLevel="1" spans="1:11">
      <c r="A269" s="24"/>
      <c r="B269" s="60" t="str">
        <f t="shared" si="9"/>
        <v>04C4</v>
      </c>
      <c r="C269" s="67"/>
      <c r="D269" s="24"/>
      <c r="E269" s="24"/>
      <c r="F269" s="24"/>
      <c r="G269" s="24"/>
      <c r="H269" s="24"/>
      <c r="I269" s="24"/>
      <c r="J269" s="67"/>
      <c r="K269" s="24"/>
    </row>
    <row r="270" outlineLevel="1" spans="1:11">
      <c r="A270" s="24"/>
      <c r="B270" s="60" t="str">
        <f t="shared" si="9"/>
        <v>04C5</v>
      </c>
      <c r="C270" s="67"/>
      <c r="D270" s="24"/>
      <c r="E270" s="24"/>
      <c r="F270" s="24"/>
      <c r="G270" s="24"/>
      <c r="H270" s="24"/>
      <c r="I270" s="24"/>
      <c r="J270" s="67"/>
      <c r="K270" s="24"/>
    </row>
    <row r="271" outlineLevel="1" spans="1:11">
      <c r="A271" s="24"/>
      <c r="B271" s="60" t="str">
        <f t="shared" si="9"/>
        <v>04C6</v>
      </c>
      <c r="C271" s="67"/>
      <c r="D271" s="24"/>
      <c r="E271" s="24"/>
      <c r="F271" s="24"/>
      <c r="G271" s="24"/>
      <c r="H271" s="24"/>
      <c r="I271" s="24"/>
      <c r="J271" s="67"/>
      <c r="K271" s="24"/>
    </row>
    <row r="272" outlineLevel="1" spans="1:11">
      <c r="A272" s="24"/>
      <c r="B272" s="60" t="str">
        <f t="shared" si="9"/>
        <v>04C7</v>
      </c>
      <c r="C272" s="67"/>
      <c r="D272" s="24"/>
      <c r="E272" s="24"/>
      <c r="F272" s="24"/>
      <c r="G272" s="24"/>
      <c r="H272" s="24"/>
      <c r="I272" s="24"/>
      <c r="J272" s="67"/>
      <c r="K272" s="24"/>
    </row>
    <row r="273" outlineLevel="1" spans="1:11">
      <c r="A273" s="24"/>
      <c r="B273" s="60" t="str">
        <f t="shared" si="9"/>
        <v>04C8</v>
      </c>
      <c r="C273" s="67"/>
      <c r="D273" s="24"/>
      <c r="E273" s="24"/>
      <c r="F273" s="24"/>
      <c r="G273" s="24"/>
      <c r="H273" s="24"/>
      <c r="I273" s="24"/>
      <c r="J273" s="67"/>
      <c r="K273" s="24"/>
    </row>
    <row r="274" outlineLevel="1" spans="1:11">
      <c r="A274" s="24"/>
      <c r="B274" s="60" t="str">
        <f t="shared" si="9"/>
        <v>04C9</v>
      </c>
      <c r="C274" s="67"/>
      <c r="D274" s="24"/>
      <c r="E274" s="24"/>
      <c r="F274" s="24"/>
      <c r="G274" s="24"/>
      <c r="H274" s="24"/>
      <c r="I274" s="24"/>
      <c r="J274" s="67"/>
      <c r="K274" s="24"/>
    </row>
    <row r="275" outlineLevel="1" spans="1:11">
      <c r="A275" s="24"/>
      <c r="B275" s="60" t="str">
        <f t="shared" si="9"/>
        <v>04CA</v>
      </c>
      <c r="C275" s="67"/>
      <c r="D275" s="24"/>
      <c r="E275" s="24"/>
      <c r="F275" s="24"/>
      <c r="G275" s="24"/>
      <c r="H275" s="24"/>
      <c r="I275" s="24"/>
      <c r="J275" s="67"/>
      <c r="K275" s="24"/>
    </row>
    <row r="276" outlineLevel="1" spans="1:11">
      <c r="A276" s="24"/>
      <c r="B276" s="60" t="str">
        <f t="shared" si="9"/>
        <v>04CB</v>
      </c>
      <c r="C276" s="67"/>
      <c r="D276" s="24"/>
      <c r="E276" s="24"/>
      <c r="F276" s="24"/>
      <c r="G276" s="24"/>
      <c r="H276" s="24"/>
      <c r="I276" s="24"/>
      <c r="J276" s="67"/>
      <c r="K276" s="24"/>
    </row>
    <row r="277" outlineLevel="1" spans="1:11">
      <c r="A277" s="24"/>
      <c r="B277" s="60" t="str">
        <f t="shared" ref="B277:B289" si="10">DEC2HEX(1152+ROW()-ROW($B$201),4)</f>
        <v>04CC</v>
      </c>
      <c r="C277" s="67"/>
      <c r="D277" s="24"/>
      <c r="E277" s="24"/>
      <c r="F277" s="24"/>
      <c r="G277" s="24"/>
      <c r="H277" s="24"/>
      <c r="I277" s="24"/>
      <c r="J277" s="67"/>
      <c r="K277" s="24"/>
    </row>
    <row r="278" outlineLevel="1" spans="1:11">
      <c r="A278" s="24"/>
      <c r="B278" s="60" t="str">
        <f t="shared" si="10"/>
        <v>04CD</v>
      </c>
      <c r="C278" s="67"/>
      <c r="D278" s="24"/>
      <c r="E278" s="24"/>
      <c r="F278" s="24"/>
      <c r="G278" s="24"/>
      <c r="H278" s="24"/>
      <c r="I278" s="24"/>
      <c r="J278" s="67"/>
      <c r="K278" s="24"/>
    </row>
    <row r="279" outlineLevel="1" spans="1:11">
      <c r="A279" s="24"/>
      <c r="B279" s="60" t="str">
        <f t="shared" si="10"/>
        <v>04CE</v>
      </c>
      <c r="C279" s="67"/>
      <c r="D279" s="24"/>
      <c r="E279" s="24"/>
      <c r="F279" s="24"/>
      <c r="G279" s="24"/>
      <c r="H279" s="24"/>
      <c r="I279" s="24"/>
      <c r="J279" s="67"/>
      <c r="K279" s="24"/>
    </row>
    <row r="280" outlineLevel="1" spans="1:11">
      <c r="A280" s="24"/>
      <c r="B280" s="60" t="str">
        <f t="shared" si="10"/>
        <v>04CF</v>
      </c>
      <c r="C280" s="67"/>
      <c r="D280" s="24"/>
      <c r="E280" s="24"/>
      <c r="F280" s="24"/>
      <c r="G280" s="24"/>
      <c r="H280" s="24"/>
      <c r="I280" s="24"/>
      <c r="J280" s="67"/>
      <c r="K280" s="24"/>
    </row>
    <row r="281" outlineLevel="1" spans="1:11">
      <c r="A281" s="24"/>
      <c r="B281" s="60" t="str">
        <f t="shared" si="10"/>
        <v>04D0</v>
      </c>
      <c r="C281" s="67"/>
      <c r="D281" s="24"/>
      <c r="E281" s="24"/>
      <c r="F281" s="24"/>
      <c r="G281" s="24"/>
      <c r="H281" s="24"/>
      <c r="I281" s="24"/>
      <c r="J281" s="67"/>
      <c r="K281" s="24"/>
    </row>
    <row r="282" outlineLevel="1" spans="1:11">
      <c r="A282" s="24"/>
      <c r="B282" s="60" t="str">
        <f t="shared" si="10"/>
        <v>04D1</v>
      </c>
      <c r="C282" s="67"/>
      <c r="D282" s="24"/>
      <c r="E282" s="24"/>
      <c r="F282" s="24"/>
      <c r="G282" s="24"/>
      <c r="H282" s="24"/>
      <c r="I282" s="24"/>
      <c r="J282" s="67"/>
      <c r="K282" s="24"/>
    </row>
    <row r="283" outlineLevel="1" spans="1:11">
      <c r="A283" s="24"/>
      <c r="B283" s="60" t="str">
        <f t="shared" si="10"/>
        <v>04D2</v>
      </c>
      <c r="C283" s="67"/>
      <c r="D283" s="24"/>
      <c r="E283" s="24"/>
      <c r="F283" s="24"/>
      <c r="G283" s="24"/>
      <c r="H283" s="24"/>
      <c r="I283" s="24"/>
      <c r="J283" s="67"/>
      <c r="K283" s="24"/>
    </row>
    <row r="284" outlineLevel="1" spans="1:11">
      <c r="A284" s="24"/>
      <c r="B284" s="60" t="str">
        <f t="shared" si="10"/>
        <v>04D3</v>
      </c>
      <c r="C284" s="67"/>
      <c r="D284" s="24"/>
      <c r="E284" s="24"/>
      <c r="F284" s="24"/>
      <c r="G284" s="24"/>
      <c r="H284" s="24"/>
      <c r="I284" s="24"/>
      <c r="J284" s="67"/>
      <c r="K284" s="24"/>
    </row>
    <row r="285" outlineLevel="1" spans="1:11">
      <c r="A285" s="24"/>
      <c r="B285" s="60" t="str">
        <f t="shared" si="10"/>
        <v>04D4</v>
      </c>
      <c r="C285" s="67"/>
      <c r="D285" s="24"/>
      <c r="E285" s="24"/>
      <c r="F285" s="24"/>
      <c r="G285" s="24"/>
      <c r="H285" s="24"/>
      <c r="I285" s="24"/>
      <c r="J285" s="67"/>
      <c r="K285" s="24"/>
    </row>
    <row r="286" outlineLevel="1" spans="1:11">
      <c r="A286" s="24"/>
      <c r="B286" s="60" t="str">
        <f t="shared" si="10"/>
        <v>04D5</v>
      </c>
      <c r="C286" s="67"/>
      <c r="D286" s="24"/>
      <c r="E286" s="24"/>
      <c r="F286" s="24"/>
      <c r="G286" s="24"/>
      <c r="H286" s="24"/>
      <c r="I286" s="24"/>
      <c r="J286" s="67"/>
      <c r="K286" s="24"/>
    </row>
    <row r="287" outlineLevel="1" spans="1:11">
      <c r="A287" s="24"/>
      <c r="B287" s="60" t="str">
        <f t="shared" si="10"/>
        <v>04D6</v>
      </c>
      <c r="C287" s="67"/>
      <c r="D287" s="24"/>
      <c r="E287" s="24"/>
      <c r="F287" s="24"/>
      <c r="G287" s="24"/>
      <c r="H287" s="24"/>
      <c r="I287" s="24"/>
      <c r="J287" s="67"/>
      <c r="K287" s="24"/>
    </row>
    <row r="288" outlineLevel="1" spans="1:11">
      <c r="A288" s="24"/>
      <c r="B288" s="60" t="str">
        <f t="shared" si="10"/>
        <v>04D7</v>
      </c>
      <c r="C288" s="67"/>
      <c r="D288" s="24"/>
      <c r="E288" s="24"/>
      <c r="F288" s="24"/>
      <c r="G288" s="24"/>
      <c r="H288" s="24"/>
      <c r="I288" s="24"/>
      <c r="J288" s="67"/>
      <c r="K288" s="24"/>
    </row>
    <row r="289" outlineLevel="1" spans="1:11">
      <c r="A289" s="24"/>
      <c r="B289" s="60" t="str">
        <f t="shared" si="10"/>
        <v>04D8</v>
      </c>
      <c r="C289" s="67"/>
      <c r="D289" s="24"/>
      <c r="E289" s="24"/>
      <c r="F289" s="24"/>
      <c r="G289" s="24"/>
      <c r="H289" s="24"/>
      <c r="I289" s="24"/>
      <c r="J289" s="67"/>
      <c r="K289" s="24"/>
    </row>
    <row r="290" outlineLevel="1" spans="1:11">
      <c r="A290" s="24"/>
      <c r="B290" s="60" t="str">
        <f t="shared" ref="B290:B297" si="11">DEC2HEX(1152+ROW()-ROW($B$201),4)</f>
        <v>04D9</v>
      </c>
      <c r="C290" s="67"/>
      <c r="D290" s="24"/>
      <c r="E290" s="24"/>
      <c r="F290" s="24"/>
      <c r="G290" s="24"/>
      <c r="H290" s="24"/>
      <c r="I290" s="24"/>
      <c r="J290" s="67"/>
      <c r="K290" s="24"/>
    </row>
    <row r="291" outlineLevel="1" spans="1:11">
      <c r="A291" s="24"/>
      <c r="B291" s="60" t="str">
        <f t="shared" si="11"/>
        <v>04DA</v>
      </c>
      <c r="C291" s="67"/>
      <c r="D291" s="24"/>
      <c r="E291" s="24"/>
      <c r="F291" s="24"/>
      <c r="G291" s="24"/>
      <c r="H291" s="24"/>
      <c r="I291" s="24"/>
      <c r="J291" s="67"/>
      <c r="K291" s="24"/>
    </row>
    <row r="292" outlineLevel="1" spans="1:11">
      <c r="A292" s="24"/>
      <c r="B292" s="60" t="str">
        <f t="shared" si="11"/>
        <v>04DB</v>
      </c>
      <c r="C292" s="67"/>
      <c r="D292" s="24"/>
      <c r="E292" s="24"/>
      <c r="F292" s="24"/>
      <c r="G292" s="24"/>
      <c r="H292" s="24"/>
      <c r="I292" s="24"/>
      <c r="J292" s="67"/>
      <c r="K292" s="24"/>
    </row>
    <row r="293" outlineLevel="1" spans="1:11">
      <c r="A293" s="24"/>
      <c r="B293" s="60" t="str">
        <f t="shared" si="11"/>
        <v>04DC</v>
      </c>
      <c r="C293" s="67"/>
      <c r="D293" s="24"/>
      <c r="E293" s="24"/>
      <c r="F293" s="24"/>
      <c r="G293" s="24"/>
      <c r="H293" s="24"/>
      <c r="I293" s="24"/>
      <c r="J293" s="67"/>
      <c r="K293" s="24"/>
    </row>
    <row r="294" outlineLevel="1" spans="1:11">
      <c r="A294" s="24"/>
      <c r="B294" s="60" t="str">
        <f t="shared" si="11"/>
        <v>04DD</v>
      </c>
      <c r="C294" s="67"/>
      <c r="D294" s="24"/>
      <c r="E294" s="24"/>
      <c r="F294" s="24"/>
      <c r="G294" s="24"/>
      <c r="H294" s="24"/>
      <c r="I294" s="24"/>
      <c r="J294" s="67"/>
      <c r="K294" s="24"/>
    </row>
    <row r="295" outlineLevel="1" spans="1:11">
      <c r="A295" s="24"/>
      <c r="B295" s="60" t="str">
        <f t="shared" si="11"/>
        <v>04DE</v>
      </c>
      <c r="C295" s="67"/>
      <c r="D295" s="24"/>
      <c r="E295" s="24"/>
      <c r="F295" s="24"/>
      <c r="G295" s="24"/>
      <c r="H295" s="24"/>
      <c r="I295" s="24"/>
      <c r="J295" s="67"/>
      <c r="K295" s="24"/>
    </row>
    <row r="296" outlineLevel="1" spans="1:11">
      <c r="A296" s="24"/>
      <c r="B296" s="60" t="str">
        <f t="shared" si="11"/>
        <v>04DF</v>
      </c>
      <c r="C296" s="67"/>
      <c r="D296" s="24"/>
      <c r="E296" s="24"/>
      <c r="F296" s="24"/>
      <c r="G296" s="24"/>
      <c r="H296" s="24"/>
      <c r="I296" s="24"/>
      <c r="J296" s="67"/>
      <c r="K296" s="24"/>
    </row>
    <row r="297" outlineLevel="1" spans="1:11">
      <c r="A297" s="24"/>
      <c r="B297" s="60" t="str">
        <f t="shared" si="11"/>
        <v>04E0</v>
      </c>
      <c r="C297" s="67"/>
      <c r="D297" s="24"/>
      <c r="E297" s="24"/>
      <c r="F297" s="24"/>
      <c r="G297" s="24"/>
      <c r="H297" s="24"/>
      <c r="I297" s="24"/>
      <c r="J297" s="67"/>
      <c r="K297" s="24"/>
    </row>
    <row r="298" outlineLevel="1" spans="1:11">
      <c r="A298" s="24"/>
      <c r="B298" s="60" t="str">
        <f t="shared" ref="B298:B307" si="12">DEC2HEX(1152+ROW()-ROW($B$201),4)</f>
        <v>04E1</v>
      </c>
      <c r="C298" s="67"/>
      <c r="D298" s="24"/>
      <c r="E298" s="24"/>
      <c r="F298" s="24"/>
      <c r="G298" s="24"/>
      <c r="H298" s="24"/>
      <c r="I298" s="24"/>
      <c r="J298" s="67"/>
      <c r="K298" s="24"/>
    </row>
    <row r="299" outlineLevel="1" spans="1:11">
      <c r="A299" s="24"/>
      <c r="B299" s="60" t="str">
        <f t="shared" si="12"/>
        <v>04E2</v>
      </c>
      <c r="C299" s="67"/>
      <c r="D299" s="24"/>
      <c r="E299" s="24"/>
      <c r="F299" s="24"/>
      <c r="G299" s="24"/>
      <c r="H299" s="24"/>
      <c r="I299" s="24"/>
      <c r="J299" s="67"/>
      <c r="K299" s="24"/>
    </row>
    <row r="300" outlineLevel="1" spans="1:11">
      <c r="A300" s="24"/>
      <c r="B300" s="60" t="str">
        <f t="shared" si="12"/>
        <v>04E3</v>
      </c>
      <c r="C300" s="67"/>
      <c r="D300" s="24"/>
      <c r="E300" s="24"/>
      <c r="F300" s="24"/>
      <c r="G300" s="24"/>
      <c r="H300" s="24"/>
      <c r="I300" s="24"/>
      <c r="J300" s="67"/>
      <c r="K300" s="24"/>
    </row>
    <row r="301" outlineLevel="1" spans="1:11">
      <c r="A301" s="24"/>
      <c r="B301" s="60" t="str">
        <f t="shared" si="12"/>
        <v>04E4</v>
      </c>
      <c r="C301" s="67"/>
      <c r="D301" s="24"/>
      <c r="E301" s="24"/>
      <c r="F301" s="24"/>
      <c r="G301" s="24"/>
      <c r="H301" s="24"/>
      <c r="I301" s="24"/>
      <c r="J301" s="67"/>
      <c r="K301" s="24"/>
    </row>
    <row r="302" outlineLevel="1" spans="1:11">
      <c r="A302" s="24"/>
      <c r="B302" s="60" t="str">
        <f t="shared" si="12"/>
        <v>04E5</v>
      </c>
      <c r="C302" s="67"/>
      <c r="D302" s="24"/>
      <c r="E302" s="24"/>
      <c r="F302" s="24"/>
      <c r="G302" s="24"/>
      <c r="H302" s="24"/>
      <c r="I302" s="24"/>
      <c r="J302" s="67"/>
      <c r="K302" s="24"/>
    </row>
    <row r="303" outlineLevel="1" spans="1:11">
      <c r="A303" s="24"/>
      <c r="B303" s="60" t="str">
        <f t="shared" si="12"/>
        <v>04E6</v>
      </c>
      <c r="C303" s="67"/>
      <c r="D303" s="24"/>
      <c r="E303" s="24"/>
      <c r="F303" s="24"/>
      <c r="G303" s="24"/>
      <c r="H303" s="24"/>
      <c r="I303" s="24"/>
      <c r="J303" s="67"/>
      <c r="K303" s="24"/>
    </row>
    <row r="304" outlineLevel="1" spans="1:11">
      <c r="A304" s="24"/>
      <c r="B304" s="60" t="str">
        <f t="shared" si="12"/>
        <v>04E7</v>
      </c>
      <c r="C304" s="67"/>
      <c r="D304" s="24"/>
      <c r="E304" s="24"/>
      <c r="F304" s="24"/>
      <c r="G304" s="24"/>
      <c r="H304" s="24"/>
      <c r="I304" s="24"/>
      <c r="J304" s="67"/>
      <c r="K304" s="24"/>
    </row>
    <row r="305" outlineLevel="1" spans="1:11">
      <c r="A305" s="24"/>
      <c r="B305" s="60" t="str">
        <f t="shared" si="12"/>
        <v>04E8</v>
      </c>
      <c r="C305" s="67"/>
      <c r="D305" s="24"/>
      <c r="E305" s="24"/>
      <c r="F305" s="24"/>
      <c r="G305" s="24"/>
      <c r="H305" s="24"/>
      <c r="I305" s="24"/>
      <c r="J305" s="67"/>
      <c r="K305" s="24"/>
    </row>
    <row r="306" outlineLevel="1" spans="1:11">
      <c r="A306" s="24"/>
      <c r="B306" s="60" t="str">
        <f t="shared" si="12"/>
        <v>04E9</v>
      </c>
      <c r="C306" s="67"/>
      <c r="D306" s="24"/>
      <c r="E306" s="24"/>
      <c r="F306" s="24"/>
      <c r="G306" s="24"/>
      <c r="H306" s="24"/>
      <c r="I306" s="24"/>
      <c r="J306" s="67"/>
      <c r="K306" s="24"/>
    </row>
    <row r="307" outlineLevel="1" spans="1:11">
      <c r="A307" s="24"/>
      <c r="B307" s="60" t="str">
        <f t="shared" si="12"/>
        <v>04EA</v>
      </c>
      <c r="C307" s="67"/>
      <c r="D307" s="24"/>
      <c r="E307" s="24"/>
      <c r="F307" s="24"/>
      <c r="G307" s="24"/>
      <c r="H307" s="24"/>
      <c r="I307" s="24"/>
      <c r="J307" s="67"/>
      <c r="K307" s="24"/>
    </row>
    <row r="308" outlineLevel="1" spans="1:11">
      <c r="A308" s="24"/>
      <c r="B308" s="60" t="str">
        <f t="shared" ref="B308:B314" si="13">DEC2HEX(1152+ROW()-ROW($B$201),4)</f>
        <v>04EB</v>
      </c>
      <c r="C308" s="67"/>
      <c r="D308" s="24"/>
      <c r="E308" s="24"/>
      <c r="F308" s="24"/>
      <c r="G308" s="24"/>
      <c r="H308" s="24"/>
      <c r="I308" s="24"/>
      <c r="J308" s="67"/>
      <c r="K308" s="24"/>
    </row>
    <row r="309" outlineLevel="1" spans="1:11">
      <c r="A309" s="24"/>
      <c r="B309" s="60" t="str">
        <f t="shared" si="13"/>
        <v>04EC</v>
      </c>
      <c r="C309" s="67"/>
      <c r="D309" s="24"/>
      <c r="E309" s="24"/>
      <c r="F309" s="24"/>
      <c r="G309" s="24"/>
      <c r="H309" s="24"/>
      <c r="I309" s="24"/>
      <c r="J309" s="67"/>
      <c r="K309" s="24"/>
    </row>
    <row r="310" outlineLevel="1" spans="1:11">
      <c r="A310" s="24"/>
      <c r="B310" s="60" t="str">
        <f t="shared" si="13"/>
        <v>04ED</v>
      </c>
      <c r="C310" s="67"/>
      <c r="D310" s="24"/>
      <c r="E310" s="24"/>
      <c r="F310" s="24"/>
      <c r="G310" s="24"/>
      <c r="H310" s="24"/>
      <c r="I310" s="24"/>
      <c r="J310" s="67"/>
      <c r="K310" s="24"/>
    </row>
    <row r="311" outlineLevel="1" spans="1:11">
      <c r="A311" s="24"/>
      <c r="B311" s="60" t="str">
        <f t="shared" si="13"/>
        <v>04EE</v>
      </c>
      <c r="C311" s="67"/>
      <c r="D311" s="24"/>
      <c r="E311" s="24"/>
      <c r="F311" s="24"/>
      <c r="G311" s="24"/>
      <c r="H311" s="24"/>
      <c r="I311" s="24"/>
      <c r="J311" s="67"/>
      <c r="K311" s="24"/>
    </row>
    <row r="312" outlineLevel="1" spans="1:11">
      <c r="A312" s="24"/>
      <c r="B312" s="60" t="str">
        <f t="shared" si="13"/>
        <v>04EF</v>
      </c>
      <c r="C312" s="67"/>
      <c r="D312" s="24"/>
      <c r="E312" s="24"/>
      <c r="F312" s="24"/>
      <c r="G312" s="24"/>
      <c r="H312" s="24"/>
      <c r="I312" s="24"/>
      <c r="J312" s="67"/>
      <c r="K312" s="24"/>
    </row>
    <row r="313" outlineLevel="1" spans="1:11">
      <c r="A313" s="24"/>
      <c r="B313" s="60" t="str">
        <f t="shared" si="13"/>
        <v>04F0</v>
      </c>
      <c r="C313" s="67"/>
      <c r="D313" s="24"/>
      <c r="E313" s="24"/>
      <c r="F313" s="24"/>
      <c r="G313" s="24"/>
      <c r="H313" s="24"/>
      <c r="I313" s="24"/>
      <c r="J313" s="67"/>
      <c r="K313" s="24"/>
    </row>
    <row r="314" outlineLevel="1" spans="1:11">
      <c r="A314" s="24"/>
      <c r="B314" s="60" t="str">
        <f t="shared" si="13"/>
        <v>04F1</v>
      </c>
      <c r="C314" s="67"/>
      <c r="D314" s="24"/>
      <c r="E314" s="24"/>
      <c r="F314" s="24"/>
      <c r="G314" s="24"/>
      <c r="H314" s="24"/>
      <c r="I314" s="24"/>
      <c r="J314" s="67"/>
      <c r="K314" s="24"/>
    </row>
    <row r="315" outlineLevel="1" spans="1:11">
      <c r="A315" s="24"/>
      <c r="B315" s="60" t="str">
        <f t="shared" ref="B315:B322" si="14">DEC2HEX(1152+ROW()-ROW($B$201),4)</f>
        <v>04F2</v>
      </c>
      <c r="C315" s="67"/>
      <c r="D315" s="24"/>
      <c r="E315" s="24"/>
      <c r="F315" s="24"/>
      <c r="G315" s="24"/>
      <c r="H315" s="24"/>
      <c r="I315" s="24"/>
      <c r="J315" s="67"/>
      <c r="K315" s="24"/>
    </row>
    <row r="316" outlineLevel="1" spans="1:11">
      <c r="A316" s="24"/>
      <c r="B316" s="60" t="str">
        <f t="shared" si="14"/>
        <v>04F3</v>
      </c>
      <c r="C316" s="67"/>
      <c r="D316" s="24"/>
      <c r="E316" s="24"/>
      <c r="F316" s="24"/>
      <c r="G316" s="24"/>
      <c r="H316" s="24"/>
      <c r="I316" s="24"/>
      <c r="J316" s="67"/>
      <c r="K316" s="24"/>
    </row>
    <row r="317" outlineLevel="1" spans="1:11">
      <c r="A317" s="24"/>
      <c r="B317" s="60" t="str">
        <f t="shared" si="14"/>
        <v>04F4</v>
      </c>
      <c r="C317" s="67"/>
      <c r="D317" s="24"/>
      <c r="E317" s="24"/>
      <c r="F317" s="24"/>
      <c r="G317" s="24"/>
      <c r="H317" s="24"/>
      <c r="I317" s="24"/>
      <c r="J317" s="67"/>
      <c r="K317" s="24"/>
    </row>
    <row r="318" outlineLevel="1" spans="1:11">
      <c r="A318" s="24"/>
      <c r="B318" s="60" t="str">
        <f t="shared" si="14"/>
        <v>04F5</v>
      </c>
      <c r="C318" s="67"/>
      <c r="D318" s="24"/>
      <c r="E318" s="24"/>
      <c r="F318" s="24"/>
      <c r="G318" s="24"/>
      <c r="H318" s="24"/>
      <c r="I318" s="24"/>
      <c r="J318" s="67"/>
      <c r="K318" s="24"/>
    </row>
    <row r="319" outlineLevel="1" spans="1:11">
      <c r="A319" s="24"/>
      <c r="B319" s="60" t="str">
        <f t="shared" si="14"/>
        <v>04F6</v>
      </c>
      <c r="C319" s="67"/>
      <c r="D319" s="24"/>
      <c r="E319" s="24"/>
      <c r="F319" s="24"/>
      <c r="G319" s="24"/>
      <c r="H319" s="24"/>
      <c r="I319" s="24"/>
      <c r="J319" s="67"/>
      <c r="K319" s="24"/>
    </row>
    <row r="320" outlineLevel="1" spans="1:11">
      <c r="A320" s="24"/>
      <c r="B320" s="60" t="str">
        <f t="shared" si="14"/>
        <v>04F7</v>
      </c>
      <c r="C320" s="67"/>
      <c r="D320" s="24"/>
      <c r="E320" s="24"/>
      <c r="F320" s="24"/>
      <c r="G320" s="24"/>
      <c r="H320" s="24"/>
      <c r="I320" s="24"/>
      <c r="J320" s="67"/>
      <c r="K320" s="24"/>
    </row>
    <row r="321" outlineLevel="1" spans="1:11">
      <c r="A321" s="24"/>
      <c r="B321" s="60" t="str">
        <f t="shared" si="14"/>
        <v>04F8</v>
      </c>
      <c r="C321" s="67"/>
      <c r="D321" s="24"/>
      <c r="E321" s="24"/>
      <c r="F321" s="24"/>
      <c r="G321" s="24"/>
      <c r="H321" s="24"/>
      <c r="I321" s="24"/>
      <c r="J321" s="67"/>
      <c r="K321" s="24"/>
    </row>
    <row r="322" outlineLevel="1" spans="1:11">
      <c r="A322" s="24"/>
      <c r="B322" s="60" t="str">
        <f t="shared" si="14"/>
        <v>04F9</v>
      </c>
      <c r="C322" s="67"/>
      <c r="D322" s="24"/>
      <c r="E322" s="24"/>
      <c r="F322" s="24"/>
      <c r="G322" s="24"/>
      <c r="H322" s="24"/>
      <c r="I322" s="24"/>
      <c r="J322" s="67"/>
      <c r="K322" s="24"/>
    </row>
    <row r="323" outlineLevel="1" spans="1:11">
      <c r="A323" s="24"/>
      <c r="B323" s="60" t="str">
        <f t="shared" ref="B323:B330" si="15">DEC2HEX(1152+ROW()-ROW($B$201),4)</f>
        <v>04FA</v>
      </c>
      <c r="C323" s="67"/>
      <c r="D323" s="24"/>
      <c r="E323" s="24"/>
      <c r="F323" s="24"/>
      <c r="G323" s="24"/>
      <c r="H323" s="24"/>
      <c r="I323" s="24"/>
      <c r="J323" s="67"/>
      <c r="K323" s="24"/>
    </row>
    <row r="324" outlineLevel="1" spans="1:11">
      <c r="A324" s="24"/>
      <c r="B324" s="60" t="str">
        <f t="shared" si="15"/>
        <v>04FB</v>
      </c>
      <c r="C324" s="67"/>
      <c r="D324" s="24"/>
      <c r="E324" s="24"/>
      <c r="F324" s="24"/>
      <c r="G324" s="24"/>
      <c r="H324" s="24"/>
      <c r="I324" s="24"/>
      <c r="J324" s="67"/>
      <c r="K324" s="24"/>
    </row>
    <row r="325" outlineLevel="1" spans="1:11">
      <c r="A325" s="24"/>
      <c r="B325" s="60" t="str">
        <f t="shared" si="15"/>
        <v>04FC</v>
      </c>
      <c r="C325" s="67"/>
      <c r="D325" s="24"/>
      <c r="E325" s="24"/>
      <c r="F325" s="24"/>
      <c r="G325" s="24"/>
      <c r="H325" s="24"/>
      <c r="I325" s="24"/>
      <c r="J325" s="67"/>
      <c r="K325" s="24"/>
    </row>
    <row r="326" outlineLevel="1" spans="1:11">
      <c r="A326" s="24"/>
      <c r="B326" s="60" t="str">
        <f t="shared" si="15"/>
        <v>04FD</v>
      </c>
      <c r="C326" s="67"/>
      <c r="D326" s="24"/>
      <c r="E326" s="24"/>
      <c r="F326" s="24"/>
      <c r="G326" s="24"/>
      <c r="H326" s="24"/>
      <c r="I326" s="24"/>
      <c r="J326" s="67"/>
      <c r="K326" s="24"/>
    </row>
    <row r="327" outlineLevel="1" spans="1:11">
      <c r="A327" s="24"/>
      <c r="B327" s="60" t="str">
        <f t="shared" si="15"/>
        <v>04FE</v>
      </c>
      <c r="C327" s="67"/>
      <c r="D327" s="24"/>
      <c r="E327" s="24"/>
      <c r="F327" s="24"/>
      <c r="G327" s="24"/>
      <c r="H327" s="24"/>
      <c r="I327" s="24"/>
      <c r="J327" s="67"/>
      <c r="K327" s="24"/>
    </row>
    <row r="328" outlineLevel="1" spans="1:11">
      <c r="A328" s="24"/>
      <c r="B328" s="60" t="str">
        <f t="shared" si="15"/>
        <v>04FF</v>
      </c>
      <c r="C328" s="67"/>
      <c r="D328" s="24"/>
      <c r="E328" s="24"/>
      <c r="F328" s="24"/>
      <c r="G328" s="24"/>
      <c r="H328" s="24"/>
      <c r="I328" s="24"/>
      <c r="J328" s="67"/>
      <c r="K328" s="24"/>
    </row>
    <row r="329" spans="1:11">
      <c r="A329" s="24"/>
      <c r="B329" s="60"/>
      <c r="C329" s="67"/>
      <c r="D329" s="24"/>
      <c r="E329" s="24"/>
      <c r="F329" s="24"/>
      <c r="G329" s="24"/>
      <c r="H329" s="24"/>
      <c r="I329" s="24"/>
      <c r="J329" s="67"/>
      <c r="K329" s="24"/>
    </row>
    <row r="330" spans="1:11">
      <c r="A330" s="66" t="s">
        <v>398</v>
      </c>
      <c r="B330" s="66"/>
      <c r="C330" s="66"/>
      <c r="D330" s="66"/>
      <c r="E330" s="66"/>
      <c r="F330" s="66"/>
      <c r="G330" s="66"/>
      <c r="H330" s="66"/>
      <c r="I330" s="66"/>
      <c r="J330" s="66"/>
      <c r="K330" s="66"/>
    </row>
    <row r="331" s="47" customFormat="1" customHeight="1" outlineLevel="1" spans="1:11">
      <c r="A331" s="59"/>
      <c r="B331" s="60" t="str">
        <f>DEC2HEX(1280+ROW()-ROW($B$331),4)</f>
        <v>0500</v>
      </c>
      <c r="C331" s="63" t="s">
        <v>399</v>
      </c>
      <c r="D331" s="59" t="s">
        <v>59</v>
      </c>
      <c r="E331" s="59"/>
      <c r="F331" s="59"/>
      <c r="G331" s="59"/>
      <c r="H331" s="59"/>
      <c r="I331" s="59" t="s">
        <v>38</v>
      </c>
      <c r="J331" s="72" t="s">
        <v>400</v>
      </c>
      <c r="K331" s="48" t="s">
        <v>61</v>
      </c>
    </row>
    <row r="332" s="47" customFormat="1" outlineLevel="1" spans="1:11">
      <c r="A332" s="59"/>
      <c r="B332" s="60" t="str">
        <f>DEC2HEX(1280+ROW()-ROW($B$331),4)</f>
        <v>0501</v>
      </c>
      <c r="C332" s="63"/>
      <c r="D332" s="59"/>
      <c r="E332" s="59"/>
      <c r="F332" s="59"/>
      <c r="G332" s="59"/>
      <c r="H332" s="59"/>
      <c r="I332" s="59"/>
      <c r="J332" s="72"/>
      <c r="K332" s="48"/>
    </row>
    <row r="333" s="47" customFormat="1" outlineLevel="1" spans="1:11">
      <c r="A333" s="59"/>
      <c r="B333" s="60" t="str">
        <f t="shared" ref="B333:B394" si="16">DEC2HEX(1280+ROW()-ROW($B$331),4)</f>
        <v>0502</v>
      </c>
      <c r="C333" s="63"/>
      <c r="D333" s="59"/>
      <c r="E333" s="59"/>
      <c r="F333" s="59"/>
      <c r="G333" s="59"/>
      <c r="H333" s="59"/>
      <c r="I333" s="59"/>
      <c r="J333" s="72"/>
      <c r="K333" s="48"/>
    </row>
    <row r="334" s="47" customFormat="1" ht="30" customHeight="1" outlineLevel="1" spans="1:11">
      <c r="A334" s="59"/>
      <c r="B334" s="60" t="str">
        <f t="shared" si="16"/>
        <v>0503</v>
      </c>
      <c r="C334" s="63"/>
      <c r="D334" s="59"/>
      <c r="E334" s="59"/>
      <c r="F334" s="59"/>
      <c r="G334" s="59"/>
      <c r="H334" s="59"/>
      <c r="I334" s="59"/>
      <c r="J334" s="72"/>
      <c r="K334" s="48"/>
    </row>
    <row r="335" s="47" customFormat="1" outlineLevel="1" spans="1:11">
      <c r="A335" s="59"/>
      <c r="B335" s="60" t="str">
        <f t="shared" si="16"/>
        <v>0504</v>
      </c>
      <c r="C335" s="78" t="s">
        <v>401</v>
      </c>
      <c r="D335" s="59" t="s">
        <v>131</v>
      </c>
      <c r="E335" s="24">
        <v>0.01</v>
      </c>
      <c r="F335" s="24" t="s">
        <v>284</v>
      </c>
      <c r="G335" s="59"/>
      <c r="H335" s="59"/>
      <c r="I335" s="59" t="s">
        <v>38</v>
      </c>
      <c r="J335" s="83" t="s">
        <v>402</v>
      </c>
      <c r="K335" s="48" t="s">
        <v>61</v>
      </c>
    </row>
    <row r="336" s="47" customFormat="1" ht="28.5" outlineLevel="1" spans="1:11">
      <c r="A336" s="59"/>
      <c r="B336" s="60" t="str">
        <f t="shared" si="16"/>
        <v>0505</v>
      </c>
      <c r="C336" s="78" t="s">
        <v>403</v>
      </c>
      <c r="D336" s="59" t="s">
        <v>131</v>
      </c>
      <c r="E336" s="24">
        <v>0.01</v>
      </c>
      <c r="F336" s="24" t="s">
        <v>284</v>
      </c>
      <c r="G336" s="59"/>
      <c r="H336" s="59"/>
      <c r="I336" s="59" t="s">
        <v>38</v>
      </c>
      <c r="J336" s="83" t="s">
        <v>404</v>
      </c>
      <c r="K336" s="48" t="s">
        <v>61</v>
      </c>
    </row>
    <row r="337" s="47" customFormat="1" ht="42.75" outlineLevel="1" spans="1:11">
      <c r="A337" s="59"/>
      <c r="B337" s="60" t="str">
        <f t="shared" si="16"/>
        <v>0506</v>
      </c>
      <c r="C337" s="78" t="s">
        <v>405</v>
      </c>
      <c r="D337" s="59" t="s">
        <v>131</v>
      </c>
      <c r="E337" s="24">
        <v>0.01</v>
      </c>
      <c r="F337" s="24" t="s">
        <v>284</v>
      </c>
      <c r="G337" s="59"/>
      <c r="H337" s="59"/>
      <c r="I337" s="59" t="s">
        <v>38</v>
      </c>
      <c r="J337" s="83" t="s">
        <v>406</v>
      </c>
      <c r="K337" s="48" t="s">
        <v>61</v>
      </c>
    </row>
    <row r="338" s="47" customFormat="1" outlineLevel="1" spans="1:11">
      <c r="A338" s="59"/>
      <c r="B338" s="60" t="str">
        <f t="shared" si="16"/>
        <v>0507</v>
      </c>
      <c r="C338" s="63" t="s">
        <v>407</v>
      </c>
      <c r="D338" s="59" t="s">
        <v>89</v>
      </c>
      <c r="E338" s="59">
        <v>0.01</v>
      </c>
      <c r="F338" s="59" t="s">
        <v>281</v>
      </c>
      <c r="G338" s="59"/>
      <c r="H338" s="59"/>
      <c r="I338" s="59" t="s">
        <v>38</v>
      </c>
      <c r="J338" s="72" t="s">
        <v>408</v>
      </c>
      <c r="K338" s="48" t="s">
        <v>61</v>
      </c>
    </row>
    <row r="339" s="47" customFormat="1" outlineLevel="1" spans="1:11">
      <c r="A339" s="59"/>
      <c r="B339" s="60" t="str">
        <f t="shared" si="16"/>
        <v>0508</v>
      </c>
      <c r="C339" s="78" t="s">
        <v>409</v>
      </c>
      <c r="D339" s="59"/>
      <c r="E339" s="59"/>
      <c r="F339" s="59"/>
      <c r="G339" s="59"/>
      <c r="H339" s="59"/>
      <c r="I339" s="59" t="s">
        <v>38</v>
      </c>
      <c r="J339" s="72" t="s">
        <v>410</v>
      </c>
      <c r="K339" s="48" t="s">
        <v>61</v>
      </c>
    </row>
    <row r="340" s="47" customFormat="1" outlineLevel="1" spans="1:11">
      <c r="A340" s="59"/>
      <c r="B340" s="60" t="str">
        <f t="shared" si="16"/>
        <v>0509</v>
      </c>
      <c r="C340" s="78" t="s">
        <v>411</v>
      </c>
      <c r="D340" s="59"/>
      <c r="E340" s="59"/>
      <c r="F340" s="59"/>
      <c r="G340" s="59"/>
      <c r="H340" s="59"/>
      <c r="I340" s="59" t="s">
        <v>38</v>
      </c>
      <c r="J340" s="72" t="s">
        <v>412</v>
      </c>
      <c r="K340" s="48" t="s">
        <v>61</v>
      </c>
    </row>
    <row r="341" outlineLevel="1" spans="1:11">
      <c r="A341" s="24"/>
      <c r="B341" s="60" t="str">
        <f t="shared" si="16"/>
        <v>050A</v>
      </c>
      <c r="C341" s="67" t="s">
        <v>413</v>
      </c>
      <c r="D341" s="24" t="s">
        <v>89</v>
      </c>
      <c r="E341" s="24">
        <v>0.1</v>
      </c>
      <c r="F341" s="24" t="s">
        <v>44</v>
      </c>
      <c r="G341" s="24"/>
      <c r="H341" s="24"/>
      <c r="I341" s="24" t="s">
        <v>38</v>
      </c>
      <c r="J341" s="72" t="s">
        <v>414</v>
      </c>
      <c r="K341" s="48" t="s">
        <v>61</v>
      </c>
    </row>
    <row r="342" outlineLevel="1" spans="1:11">
      <c r="A342" s="24"/>
      <c r="B342" s="60" t="str">
        <f t="shared" si="16"/>
        <v>050B</v>
      </c>
      <c r="C342" s="67" t="s">
        <v>415</v>
      </c>
      <c r="D342" s="24" t="s">
        <v>131</v>
      </c>
      <c r="E342" s="24">
        <v>0.01</v>
      </c>
      <c r="F342" s="24" t="s">
        <v>303</v>
      </c>
      <c r="G342" s="24"/>
      <c r="H342" s="24"/>
      <c r="I342" s="24" t="s">
        <v>38</v>
      </c>
      <c r="J342" s="72" t="s">
        <v>416</v>
      </c>
      <c r="K342" s="48" t="s">
        <v>61</v>
      </c>
    </row>
    <row r="343" ht="28.5" outlineLevel="1" spans="1:11">
      <c r="A343" s="24"/>
      <c r="B343" s="60" t="str">
        <f t="shared" si="16"/>
        <v>050C</v>
      </c>
      <c r="C343" s="67" t="s">
        <v>417</v>
      </c>
      <c r="D343" s="24" t="s">
        <v>131</v>
      </c>
      <c r="E343" s="24">
        <v>0.01</v>
      </c>
      <c r="F343" s="24" t="s">
        <v>284</v>
      </c>
      <c r="G343" s="24"/>
      <c r="H343" s="24"/>
      <c r="I343" s="24" t="s">
        <v>38</v>
      </c>
      <c r="J343" s="72" t="s">
        <v>418</v>
      </c>
      <c r="K343" s="48" t="s">
        <v>61</v>
      </c>
    </row>
    <row r="344" ht="28.5" outlineLevel="1" spans="1:11">
      <c r="A344" s="24"/>
      <c r="B344" s="60" t="str">
        <f t="shared" si="16"/>
        <v>050D</v>
      </c>
      <c r="C344" s="69" t="s">
        <v>419</v>
      </c>
      <c r="D344" s="59" t="s">
        <v>131</v>
      </c>
      <c r="E344" s="24">
        <v>0.01</v>
      </c>
      <c r="F344" s="24" t="s">
        <v>284</v>
      </c>
      <c r="G344" s="59"/>
      <c r="H344" s="59"/>
      <c r="I344" s="59" t="s">
        <v>38</v>
      </c>
      <c r="J344" s="72" t="s">
        <v>420</v>
      </c>
      <c r="K344" s="48" t="s">
        <v>61</v>
      </c>
    </row>
    <row r="345" ht="42.75" outlineLevel="1" spans="1:11">
      <c r="A345" s="24"/>
      <c r="B345" s="60" t="str">
        <f t="shared" si="16"/>
        <v>050E</v>
      </c>
      <c r="C345" s="69" t="s">
        <v>421</v>
      </c>
      <c r="D345" s="24" t="s">
        <v>131</v>
      </c>
      <c r="E345" s="24">
        <v>0.01</v>
      </c>
      <c r="F345" s="24" t="s">
        <v>422</v>
      </c>
      <c r="G345" s="24"/>
      <c r="H345" s="24"/>
      <c r="I345" s="24" t="s">
        <v>38</v>
      </c>
      <c r="J345" s="72" t="s">
        <v>423</v>
      </c>
      <c r="K345" s="48" t="s">
        <v>61</v>
      </c>
    </row>
    <row r="346" outlineLevel="1" spans="1:11">
      <c r="A346" s="24"/>
      <c r="B346" s="60" t="str">
        <f t="shared" si="16"/>
        <v>050F</v>
      </c>
      <c r="C346" s="69" t="s">
        <v>424</v>
      </c>
      <c r="D346" s="24" t="s">
        <v>89</v>
      </c>
      <c r="E346" s="24">
        <v>0.01</v>
      </c>
      <c r="F346" s="24" t="s">
        <v>310</v>
      </c>
      <c r="G346" s="24"/>
      <c r="H346" s="24"/>
      <c r="I346" s="24" t="s">
        <v>38</v>
      </c>
      <c r="J346" s="72" t="s">
        <v>425</v>
      </c>
      <c r="K346" s="48" t="s">
        <v>61</v>
      </c>
    </row>
    <row r="347" outlineLevel="1" spans="1:11">
      <c r="A347" s="24"/>
      <c r="B347" s="60" t="str">
        <f t="shared" si="16"/>
        <v>0510</v>
      </c>
      <c r="C347" s="69" t="s">
        <v>426</v>
      </c>
      <c r="D347" s="24"/>
      <c r="E347" s="24"/>
      <c r="F347" s="24"/>
      <c r="G347" s="24"/>
      <c r="H347" s="24"/>
      <c r="I347" s="24" t="s">
        <v>38</v>
      </c>
      <c r="J347" s="72" t="s">
        <v>321</v>
      </c>
      <c r="K347" s="48" t="s">
        <v>61</v>
      </c>
    </row>
    <row r="348" outlineLevel="1" spans="1:11">
      <c r="A348" s="24"/>
      <c r="B348" s="60" t="str">
        <f t="shared" si="16"/>
        <v>0511</v>
      </c>
      <c r="C348" s="69" t="s">
        <v>427</v>
      </c>
      <c r="D348" s="24"/>
      <c r="E348" s="24"/>
      <c r="F348" s="24"/>
      <c r="G348" s="24"/>
      <c r="H348" s="24"/>
      <c r="I348" s="24" t="s">
        <v>38</v>
      </c>
      <c r="J348" s="72" t="s">
        <v>323</v>
      </c>
      <c r="K348" s="48" t="s">
        <v>61</v>
      </c>
    </row>
    <row r="349" outlineLevel="1" spans="1:11">
      <c r="A349" s="24"/>
      <c r="B349" s="60" t="str">
        <f t="shared" si="16"/>
        <v>0512</v>
      </c>
      <c r="C349" s="67" t="s">
        <v>428</v>
      </c>
      <c r="D349" s="24" t="s">
        <v>89</v>
      </c>
      <c r="E349" s="24">
        <v>0.1</v>
      </c>
      <c r="F349" s="24" t="s">
        <v>44</v>
      </c>
      <c r="G349" s="24"/>
      <c r="H349" s="24"/>
      <c r="I349" s="24" t="s">
        <v>38</v>
      </c>
      <c r="J349" s="72" t="s">
        <v>429</v>
      </c>
      <c r="K349" s="48" t="s">
        <v>61</v>
      </c>
    </row>
    <row r="350" outlineLevel="1" spans="1:11">
      <c r="A350" s="24"/>
      <c r="B350" s="60" t="str">
        <f t="shared" si="16"/>
        <v>0513</v>
      </c>
      <c r="C350" s="67" t="s">
        <v>430</v>
      </c>
      <c r="D350" s="24" t="s">
        <v>131</v>
      </c>
      <c r="E350" s="24">
        <v>0.01</v>
      </c>
      <c r="F350" s="24" t="s">
        <v>303</v>
      </c>
      <c r="G350" s="24"/>
      <c r="H350" s="24"/>
      <c r="I350" s="24" t="s">
        <v>38</v>
      </c>
      <c r="J350" s="72" t="s">
        <v>431</v>
      </c>
      <c r="K350" s="48" t="s">
        <v>61</v>
      </c>
    </row>
    <row r="351" ht="28.5" outlineLevel="1" spans="1:11">
      <c r="A351" s="24"/>
      <c r="B351" s="60" t="str">
        <f t="shared" si="16"/>
        <v>0514</v>
      </c>
      <c r="C351" s="67" t="s">
        <v>432</v>
      </c>
      <c r="D351" s="24" t="s">
        <v>131</v>
      </c>
      <c r="E351" s="24">
        <v>0.01</v>
      </c>
      <c r="F351" s="24" t="s">
        <v>284</v>
      </c>
      <c r="G351" s="24"/>
      <c r="H351" s="24"/>
      <c r="I351" s="24" t="s">
        <v>38</v>
      </c>
      <c r="J351" s="72" t="s">
        <v>433</v>
      </c>
      <c r="K351" s="48" t="s">
        <v>61</v>
      </c>
    </row>
    <row r="352" ht="28.5" outlineLevel="1" spans="1:11">
      <c r="A352" s="24"/>
      <c r="B352" s="60" t="str">
        <f t="shared" si="16"/>
        <v>0515</v>
      </c>
      <c r="C352" s="69" t="s">
        <v>434</v>
      </c>
      <c r="D352" s="59" t="s">
        <v>131</v>
      </c>
      <c r="E352" s="24">
        <v>0.01</v>
      </c>
      <c r="F352" s="24" t="s">
        <v>284</v>
      </c>
      <c r="G352" s="59"/>
      <c r="H352" s="59"/>
      <c r="I352" s="59" t="s">
        <v>38</v>
      </c>
      <c r="J352" s="72" t="s">
        <v>435</v>
      </c>
      <c r="K352" s="48" t="s">
        <v>61</v>
      </c>
    </row>
    <row r="353" ht="42.75" outlineLevel="1" spans="1:11">
      <c r="A353" s="24"/>
      <c r="B353" s="60" t="str">
        <f t="shared" si="16"/>
        <v>0516</v>
      </c>
      <c r="C353" s="69" t="s">
        <v>436</v>
      </c>
      <c r="D353" s="24" t="s">
        <v>131</v>
      </c>
      <c r="E353" s="24">
        <v>0.01</v>
      </c>
      <c r="F353" s="24" t="s">
        <v>422</v>
      </c>
      <c r="G353" s="24"/>
      <c r="H353" s="24"/>
      <c r="I353" s="24" t="s">
        <v>38</v>
      </c>
      <c r="J353" s="72" t="s">
        <v>437</v>
      </c>
      <c r="K353" s="48" t="s">
        <v>61</v>
      </c>
    </row>
    <row r="354" outlineLevel="1" spans="1:11">
      <c r="A354" s="24"/>
      <c r="B354" s="60" t="str">
        <f t="shared" si="16"/>
        <v>0517</v>
      </c>
      <c r="C354" s="69" t="s">
        <v>438</v>
      </c>
      <c r="D354" s="24" t="s">
        <v>89</v>
      </c>
      <c r="E354" s="24">
        <v>0.01</v>
      </c>
      <c r="F354" s="24" t="s">
        <v>310</v>
      </c>
      <c r="G354" s="24"/>
      <c r="H354" s="24"/>
      <c r="I354" s="24" t="s">
        <v>38</v>
      </c>
      <c r="J354" s="72" t="s">
        <v>439</v>
      </c>
      <c r="K354" s="48" t="s">
        <v>61</v>
      </c>
    </row>
    <row r="355" outlineLevel="1" spans="1:11">
      <c r="A355" s="24"/>
      <c r="B355" s="60" t="str">
        <f t="shared" si="16"/>
        <v>0518</v>
      </c>
      <c r="C355" s="69" t="s">
        <v>440</v>
      </c>
      <c r="D355" s="24"/>
      <c r="E355" s="24"/>
      <c r="F355" s="24"/>
      <c r="G355" s="24"/>
      <c r="H355" s="24"/>
      <c r="I355" s="24" t="s">
        <v>38</v>
      </c>
      <c r="J355" s="72" t="s">
        <v>343</v>
      </c>
      <c r="K355" s="48" t="s">
        <v>61</v>
      </c>
    </row>
    <row r="356" outlineLevel="1" spans="1:11">
      <c r="A356" s="24"/>
      <c r="B356" s="60" t="str">
        <f t="shared" si="16"/>
        <v>0519</v>
      </c>
      <c r="C356" s="69" t="s">
        <v>441</v>
      </c>
      <c r="D356" s="24"/>
      <c r="E356" s="24"/>
      <c r="F356" s="24"/>
      <c r="G356" s="24"/>
      <c r="H356" s="24"/>
      <c r="I356" s="24" t="s">
        <v>38</v>
      </c>
      <c r="J356" s="72" t="s">
        <v>345</v>
      </c>
      <c r="K356" s="48" t="s">
        <v>61</v>
      </c>
    </row>
    <row r="357" outlineLevel="1" spans="1:11">
      <c r="A357" s="24"/>
      <c r="B357" s="60" t="str">
        <f t="shared" si="16"/>
        <v>051A</v>
      </c>
      <c r="C357" s="67" t="s">
        <v>442</v>
      </c>
      <c r="D357" s="24" t="s">
        <v>89</v>
      </c>
      <c r="E357" s="24">
        <v>0.1</v>
      </c>
      <c r="F357" s="24" t="s">
        <v>44</v>
      </c>
      <c r="G357" s="24"/>
      <c r="H357" s="24"/>
      <c r="I357" s="24" t="s">
        <v>38</v>
      </c>
      <c r="J357" s="72" t="s">
        <v>443</v>
      </c>
      <c r="K357" s="48" t="s">
        <v>61</v>
      </c>
    </row>
    <row r="358" outlineLevel="1" spans="1:11">
      <c r="A358" s="24"/>
      <c r="B358" s="60" t="str">
        <f t="shared" si="16"/>
        <v>051B</v>
      </c>
      <c r="C358" s="67" t="s">
        <v>444</v>
      </c>
      <c r="D358" s="24" t="s">
        <v>131</v>
      </c>
      <c r="E358" s="24">
        <v>0.01</v>
      </c>
      <c r="F358" s="24" t="s">
        <v>303</v>
      </c>
      <c r="G358" s="24"/>
      <c r="H358" s="24"/>
      <c r="I358" s="24" t="s">
        <v>38</v>
      </c>
      <c r="J358" s="72" t="s">
        <v>445</v>
      </c>
      <c r="K358" s="48" t="s">
        <v>61</v>
      </c>
    </row>
    <row r="359" ht="28.5" outlineLevel="1" spans="1:11">
      <c r="A359" s="24"/>
      <c r="B359" s="60" t="str">
        <f t="shared" si="16"/>
        <v>051C</v>
      </c>
      <c r="C359" s="67" t="s">
        <v>446</v>
      </c>
      <c r="D359" s="24" t="s">
        <v>131</v>
      </c>
      <c r="E359" s="24">
        <v>0.01</v>
      </c>
      <c r="F359" s="24" t="s">
        <v>284</v>
      </c>
      <c r="G359" s="24"/>
      <c r="H359" s="24"/>
      <c r="I359" s="24" t="s">
        <v>38</v>
      </c>
      <c r="J359" s="72" t="s">
        <v>447</v>
      </c>
      <c r="K359" s="48" t="s">
        <v>61</v>
      </c>
    </row>
    <row r="360" ht="28.5" outlineLevel="1" spans="1:11">
      <c r="A360" s="24"/>
      <c r="B360" s="60" t="str">
        <f t="shared" si="16"/>
        <v>051D</v>
      </c>
      <c r="C360" s="69" t="s">
        <v>448</v>
      </c>
      <c r="D360" s="59" t="s">
        <v>131</v>
      </c>
      <c r="E360" s="24">
        <v>0.01</v>
      </c>
      <c r="F360" s="24" t="s">
        <v>284</v>
      </c>
      <c r="G360" s="59"/>
      <c r="H360" s="59"/>
      <c r="I360" s="59" t="s">
        <v>38</v>
      </c>
      <c r="J360" s="72" t="s">
        <v>449</v>
      </c>
      <c r="K360" s="48" t="s">
        <v>61</v>
      </c>
    </row>
    <row r="361" ht="42.75" outlineLevel="1" spans="1:11">
      <c r="A361" s="24"/>
      <c r="B361" s="60" t="str">
        <f t="shared" si="16"/>
        <v>051E</v>
      </c>
      <c r="C361" s="69" t="s">
        <v>450</v>
      </c>
      <c r="D361" s="24" t="s">
        <v>131</v>
      </c>
      <c r="E361" s="24">
        <v>0.01</v>
      </c>
      <c r="F361" s="24" t="s">
        <v>422</v>
      </c>
      <c r="G361" s="24"/>
      <c r="H361" s="24"/>
      <c r="I361" s="24" t="s">
        <v>38</v>
      </c>
      <c r="J361" s="72" t="s">
        <v>451</v>
      </c>
      <c r="K361" s="48" t="s">
        <v>61</v>
      </c>
    </row>
    <row r="362" outlineLevel="1" spans="1:11">
      <c r="A362" s="24"/>
      <c r="B362" s="60" t="str">
        <f t="shared" si="16"/>
        <v>051F</v>
      </c>
      <c r="C362" s="69" t="s">
        <v>452</v>
      </c>
      <c r="D362" s="24" t="s">
        <v>89</v>
      </c>
      <c r="E362" s="24">
        <v>0.01</v>
      </c>
      <c r="F362" s="24" t="s">
        <v>310</v>
      </c>
      <c r="G362" s="24"/>
      <c r="H362" s="24"/>
      <c r="I362" s="24" t="s">
        <v>38</v>
      </c>
      <c r="J362" s="72" t="s">
        <v>453</v>
      </c>
      <c r="K362" s="48" t="s">
        <v>61</v>
      </c>
    </row>
    <row r="363" outlineLevel="1" spans="1:11">
      <c r="A363" s="24"/>
      <c r="B363" s="60" t="str">
        <f t="shared" si="16"/>
        <v>0520</v>
      </c>
      <c r="C363" s="69" t="s">
        <v>454</v>
      </c>
      <c r="D363" s="24"/>
      <c r="E363" s="24"/>
      <c r="F363" s="24"/>
      <c r="G363" s="24"/>
      <c r="H363" s="24"/>
      <c r="I363" s="24" t="s">
        <v>38</v>
      </c>
      <c r="J363" s="72" t="s">
        <v>365</v>
      </c>
      <c r="K363" s="48" t="s">
        <v>61</v>
      </c>
    </row>
    <row r="364" outlineLevel="1" spans="1:11">
      <c r="A364" s="24"/>
      <c r="B364" s="60" t="str">
        <f t="shared" si="16"/>
        <v>0521</v>
      </c>
      <c r="C364" s="69" t="s">
        <v>455</v>
      </c>
      <c r="D364" s="24"/>
      <c r="E364" s="24"/>
      <c r="F364" s="24"/>
      <c r="G364" s="24"/>
      <c r="H364" s="24"/>
      <c r="I364" s="24" t="s">
        <v>38</v>
      </c>
      <c r="J364" s="72" t="s">
        <v>367</v>
      </c>
      <c r="K364" s="48" t="s">
        <v>61</v>
      </c>
    </row>
    <row r="365" outlineLevel="1" spans="1:11">
      <c r="A365" s="24"/>
      <c r="B365" s="60" t="str">
        <f t="shared" si="16"/>
        <v>0522</v>
      </c>
      <c r="C365" s="63" t="s">
        <v>456</v>
      </c>
      <c r="D365" s="59" t="s">
        <v>89</v>
      </c>
      <c r="E365" s="59">
        <v>0.1</v>
      </c>
      <c r="F365" s="59" t="s">
        <v>44</v>
      </c>
      <c r="G365" s="59"/>
      <c r="H365" s="59"/>
      <c r="I365" s="59" t="s">
        <v>38</v>
      </c>
      <c r="J365" s="72" t="s">
        <v>457</v>
      </c>
      <c r="K365" s="48" t="s">
        <v>61</v>
      </c>
    </row>
    <row r="366" outlineLevel="1" spans="1:11">
      <c r="A366" s="24"/>
      <c r="B366" s="60" t="str">
        <f t="shared" si="16"/>
        <v>0523</v>
      </c>
      <c r="C366" s="63" t="s">
        <v>458</v>
      </c>
      <c r="D366" s="59" t="s">
        <v>131</v>
      </c>
      <c r="E366" s="59">
        <v>0.01</v>
      </c>
      <c r="F366" s="59" t="s">
        <v>303</v>
      </c>
      <c r="G366" s="59"/>
      <c r="H366" s="59"/>
      <c r="I366" s="59" t="s">
        <v>38</v>
      </c>
      <c r="J366" s="72" t="s">
        <v>459</v>
      </c>
      <c r="K366" s="48" t="s">
        <v>61</v>
      </c>
    </row>
    <row r="367" outlineLevel="1" spans="1:11">
      <c r="A367" s="24"/>
      <c r="B367" s="60" t="str">
        <f t="shared" si="16"/>
        <v>0524</v>
      </c>
      <c r="C367" s="63" t="s">
        <v>460</v>
      </c>
      <c r="D367" s="59" t="s">
        <v>131</v>
      </c>
      <c r="E367" s="59">
        <v>0.01</v>
      </c>
      <c r="F367" s="59" t="s">
        <v>284</v>
      </c>
      <c r="G367" s="59"/>
      <c r="H367" s="59"/>
      <c r="I367" s="59" t="s">
        <v>38</v>
      </c>
      <c r="J367" s="72" t="s">
        <v>461</v>
      </c>
      <c r="K367" s="48" t="s">
        <v>61</v>
      </c>
    </row>
    <row r="368" outlineLevel="1" spans="1:11">
      <c r="A368" s="24"/>
      <c r="B368" s="60" t="str">
        <f t="shared" si="16"/>
        <v>0525</v>
      </c>
      <c r="C368" s="63" t="s">
        <v>462</v>
      </c>
      <c r="D368" s="59" t="s">
        <v>89</v>
      </c>
      <c r="E368" s="59">
        <v>0.1</v>
      </c>
      <c r="F368" s="59" t="s">
        <v>44</v>
      </c>
      <c r="G368" s="59"/>
      <c r="H368" s="59"/>
      <c r="I368" s="59" t="s">
        <v>38</v>
      </c>
      <c r="J368" s="72" t="s">
        <v>463</v>
      </c>
      <c r="K368" s="48" t="s">
        <v>61</v>
      </c>
    </row>
    <row r="369" outlineLevel="1" spans="1:11">
      <c r="A369" s="24"/>
      <c r="B369" s="60" t="str">
        <f t="shared" si="16"/>
        <v>0526</v>
      </c>
      <c r="C369" s="63" t="s">
        <v>464</v>
      </c>
      <c r="D369" s="59" t="s">
        <v>131</v>
      </c>
      <c r="E369" s="59">
        <v>0.01</v>
      </c>
      <c r="F369" s="59" t="s">
        <v>303</v>
      </c>
      <c r="G369" s="59"/>
      <c r="H369" s="59"/>
      <c r="I369" s="59" t="s">
        <v>38</v>
      </c>
      <c r="J369" s="72" t="s">
        <v>465</v>
      </c>
      <c r="K369" s="48" t="s">
        <v>61</v>
      </c>
    </row>
    <row r="370" outlineLevel="1" spans="1:11">
      <c r="A370" s="24"/>
      <c r="B370" s="60" t="str">
        <f t="shared" si="16"/>
        <v>0527</v>
      </c>
      <c r="C370" s="63" t="s">
        <v>466</v>
      </c>
      <c r="D370" s="59" t="s">
        <v>131</v>
      </c>
      <c r="E370" s="59">
        <v>0.01</v>
      </c>
      <c r="F370" s="59" t="s">
        <v>284</v>
      </c>
      <c r="G370" s="59"/>
      <c r="H370" s="59"/>
      <c r="I370" s="59" t="s">
        <v>38</v>
      </c>
      <c r="J370" s="72" t="s">
        <v>467</v>
      </c>
      <c r="K370" s="48" t="s">
        <v>61</v>
      </c>
    </row>
    <row r="371" outlineLevel="1" spans="1:11">
      <c r="A371" s="24"/>
      <c r="B371" s="60" t="str">
        <f t="shared" si="16"/>
        <v>0528</v>
      </c>
      <c r="C371" s="69"/>
      <c r="D371" s="24"/>
      <c r="E371" s="24"/>
      <c r="F371" s="24"/>
      <c r="G371" s="24"/>
      <c r="H371" s="24"/>
      <c r="I371" s="24"/>
      <c r="J371" s="75"/>
      <c r="K371" s="24"/>
    </row>
    <row r="372" outlineLevel="1" spans="1:11">
      <c r="A372" s="24"/>
      <c r="B372" s="60" t="str">
        <f t="shared" si="16"/>
        <v>0529</v>
      </c>
      <c r="C372" s="69"/>
      <c r="D372" s="24"/>
      <c r="E372" s="24"/>
      <c r="F372" s="24"/>
      <c r="G372" s="24"/>
      <c r="H372" s="24"/>
      <c r="I372" s="24"/>
      <c r="J372" s="75"/>
      <c r="K372" s="24"/>
    </row>
    <row r="373" outlineLevel="1" spans="1:11">
      <c r="A373" s="24"/>
      <c r="B373" s="60" t="str">
        <f t="shared" si="16"/>
        <v>052A</v>
      </c>
      <c r="C373" s="69"/>
      <c r="D373" s="24"/>
      <c r="E373" s="24"/>
      <c r="F373" s="24"/>
      <c r="G373" s="24"/>
      <c r="H373" s="24"/>
      <c r="I373" s="24"/>
      <c r="J373" s="75"/>
      <c r="K373" s="24"/>
    </row>
    <row r="374" outlineLevel="1" spans="1:11">
      <c r="A374" s="24"/>
      <c r="B374" s="60" t="str">
        <f t="shared" si="16"/>
        <v>052B</v>
      </c>
      <c r="C374" s="69"/>
      <c r="D374" s="24"/>
      <c r="E374" s="24"/>
      <c r="F374" s="24"/>
      <c r="G374" s="24"/>
      <c r="H374" s="24"/>
      <c r="I374" s="24"/>
      <c r="J374" s="75"/>
      <c r="K374" s="24"/>
    </row>
    <row r="375" outlineLevel="1" spans="1:11">
      <c r="A375" s="24"/>
      <c r="B375" s="60" t="str">
        <f t="shared" si="16"/>
        <v>052C</v>
      </c>
      <c r="C375" s="69"/>
      <c r="D375" s="24"/>
      <c r="E375" s="24"/>
      <c r="F375" s="24"/>
      <c r="G375" s="24"/>
      <c r="H375" s="24"/>
      <c r="I375" s="24"/>
      <c r="J375" s="75"/>
      <c r="K375" s="24"/>
    </row>
    <row r="376" outlineLevel="1" spans="1:11">
      <c r="A376" s="24"/>
      <c r="B376" s="60" t="str">
        <f t="shared" si="16"/>
        <v>052D</v>
      </c>
      <c r="C376" s="69"/>
      <c r="D376" s="24"/>
      <c r="E376" s="24"/>
      <c r="F376" s="24"/>
      <c r="G376" s="24"/>
      <c r="H376" s="24"/>
      <c r="I376" s="24"/>
      <c r="J376" s="75"/>
      <c r="K376" s="24"/>
    </row>
    <row r="377" outlineLevel="1" spans="1:11">
      <c r="A377" s="24"/>
      <c r="B377" s="60" t="str">
        <f t="shared" si="16"/>
        <v>052E</v>
      </c>
      <c r="C377" s="69"/>
      <c r="D377" s="24"/>
      <c r="E377" s="24"/>
      <c r="F377" s="24"/>
      <c r="G377" s="24"/>
      <c r="H377" s="24"/>
      <c r="I377" s="24"/>
      <c r="J377" s="75"/>
      <c r="K377" s="24"/>
    </row>
    <row r="378" outlineLevel="1" spans="1:11">
      <c r="A378" s="24"/>
      <c r="B378" s="60" t="str">
        <f t="shared" si="16"/>
        <v>052F</v>
      </c>
      <c r="C378" s="69"/>
      <c r="D378" s="24"/>
      <c r="E378" s="24"/>
      <c r="F378" s="24"/>
      <c r="G378" s="24"/>
      <c r="H378" s="24"/>
      <c r="I378" s="24"/>
      <c r="J378" s="75"/>
      <c r="K378" s="24"/>
    </row>
    <row r="379" outlineLevel="1" spans="1:11">
      <c r="A379" s="24"/>
      <c r="B379" s="60" t="str">
        <f t="shared" si="16"/>
        <v>0530</v>
      </c>
      <c r="C379" s="69"/>
      <c r="D379" s="24"/>
      <c r="E379" s="24"/>
      <c r="F379" s="24"/>
      <c r="G379" s="24"/>
      <c r="H379" s="24"/>
      <c r="I379" s="24"/>
      <c r="J379" s="75"/>
      <c r="K379" s="24"/>
    </row>
    <row r="380" outlineLevel="1" spans="1:11">
      <c r="A380" s="24"/>
      <c r="B380" s="60" t="str">
        <f t="shared" si="16"/>
        <v>0531</v>
      </c>
      <c r="C380" s="69"/>
      <c r="D380" s="24"/>
      <c r="E380" s="24"/>
      <c r="F380" s="24"/>
      <c r="G380" s="24"/>
      <c r="H380" s="24"/>
      <c r="I380" s="24"/>
      <c r="J380" s="75"/>
      <c r="K380" s="24"/>
    </row>
    <row r="381" outlineLevel="1" spans="1:11">
      <c r="A381" s="24"/>
      <c r="B381" s="60" t="str">
        <f t="shared" si="16"/>
        <v>0532</v>
      </c>
      <c r="C381" s="69"/>
      <c r="D381" s="24"/>
      <c r="E381" s="24"/>
      <c r="F381" s="24"/>
      <c r="G381" s="24"/>
      <c r="H381" s="24"/>
      <c r="I381" s="24"/>
      <c r="J381" s="75"/>
      <c r="K381" s="24"/>
    </row>
    <row r="382" outlineLevel="1" spans="1:11">
      <c r="A382" s="24"/>
      <c r="B382" s="60" t="str">
        <f t="shared" si="16"/>
        <v>0533</v>
      </c>
      <c r="C382" s="69"/>
      <c r="D382" s="24"/>
      <c r="E382" s="24"/>
      <c r="F382" s="24"/>
      <c r="G382" s="24"/>
      <c r="H382" s="24"/>
      <c r="I382" s="24"/>
      <c r="J382" s="75"/>
      <c r="K382" s="24"/>
    </row>
    <row r="383" outlineLevel="1" spans="1:11">
      <c r="A383" s="24"/>
      <c r="B383" s="60" t="str">
        <f t="shared" si="16"/>
        <v>0534</v>
      </c>
      <c r="C383" s="69"/>
      <c r="D383" s="24"/>
      <c r="E383" s="24"/>
      <c r="F383" s="24"/>
      <c r="G383" s="24"/>
      <c r="H383" s="24"/>
      <c r="I383" s="24"/>
      <c r="J383" s="75"/>
      <c r="K383" s="24"/>
    </row>
    <row r="384" outlineLevel="1" spans="1:11">
      <c r="A384" s="24"/>
      <c r="B384" s="60" t="str">
        <f t="shared" si="16"/>
        <v>0535</v>
      </c>
      <c r="C384" s="69"/>
      <c r="D384" s="24"/>
      <c r="E384" s="24"/>
      <c r="F384" s="24"/>
      <c r="G384" s="24"/>
      <c r="H384" s="24"/>
      <c r="I384" s="24"/>
      <c r="J384" s="75"/>
      <c r="K384" s="24"/>
    </row>
    <row r="385" outlineLevel="1" spans="1:11">
      <c r="A385" s="24"/>
      <c r="B385" s="60" t="str">
        <f t="shared" si="16"/>
        <v>0536</v>
      </c>
      <c r="C385" s="69"/>
      <c r="D385" s="24"/>
      <c r="E385" s="24"/>
      <c r="F385" s="24"/>
      <c r="G385" s="24"/>
      <c r="H385" s="24"/>
      <c r="I385" s="24"/>
      <c r="J385" s="75"/>
      <c r="K385" s="24"/>
    </row>
    <row r="386" outlineLevel="1" spans="1:11">
      <c r="A386" s="24"/>
      <c r="B386" s="60" t="str">
        <f t="shared" si="16"/>
        <v>0537</v>
      </c>
      <c r="C386" s="69"/>
      <c r="D386" s="24"/>
      <c r="E386" s="24"/>
      <c r="F386" s="24"/>
      <c r="G386" s="24"/>
      <c r="H386" s="24"/>
      <c r="I386" s="24"/>
      <c r="J386" s="75"/>
      <c r="K386" s="24"/>
    </row>
    <row r="387" outlineLevel="1" spans="1:11">
      <c r="A387" s="24"/>
      <c r="B387" s="60" t="str">
        <f t="shared" si="16"/>
        <v>0538</v>
      </c>
      <c r="C387" s="69"/>
      <c r="D387" s="24"/>
      <c r="E387" s="24"/>
      <c r="F387" s="24"/>
      <c r="G387" s="24"/>
      <c r="H387" s="24"/>
      <c r="I387" s="24"/>
      <c r="J387" s="75"/>
      <c r="K387" s="24"/>
    </row>
    <row r="388" outlineLevel="1" spans="1:11">
      <c r="A388" s="24"/>
      <c r="B388" s="60" t="str">
        <f t="shared" si="16"/>
        <v>0539</v>
      </c>
      <c r="C388" s="69"/>
      <c r="D388" s="24"/>
      <c r="E388" s="24"/>
      <c r="F388" s="24"/>
      <c r="G388" s="24"/>
      <c r="H388" s="24"/>
      <c r="I388" s="24"/>
      <c r="J388" s="75"/>
      <c r="K388" s="24"/>
    </row>
    <row r="389" outlineLevel="1" spans="1:11">
      <c r="A389" s="24"/>
      <c r="B389" s="60" t="str">
        <f t="shared" si="16"/>
        <v>053A</v>
      </c>
      <c r="C389" s="69"/>
      <c r="D389" s="24"/>
      <c r="E389" s="24"/>
      <c r="F389" s="24"/>
      <c r="G389" s="24"/>
      <c r="H389" s="24"/>
      <c r="I389" s="24"/>
      <c r="J389" s="75"/>
      <c r="K389" s="24"/>
    </row>
    <row r="390" outlineLevel="1" spans="1:11">
      <c r="A390" s="24"/>
      <c r="B390" s="60" t="str">
        <f t="shared" si="16"/>
        <v>053B</v>
      </c>
      <c r="C390" s="69"/>
      <c r="D390" s="24"/>
      <c r="E390" s="24"/>
      <c r="F390" s="24"/>
      <c r="G390" s="24"/>
      <c r="H390" s="24"/>
      <c r="I390" s="24"/>
      <c r="J390" s="75"/>
      <c r="K390" s="24"/>
    </row>
    <row r="391" outlineLevel="1" spans="1:11">
      <c r="A391" s="24"/>
      <c r="B391" s="60" t="str">
        <f t="shared" si="16"/>
        <v>053C</v>
      </c>
      <c r="C391" s="69"/>
      <c r="D391" s="24"/>
      <c r="E391" s="24"/>
      <c r="F391" s="24"/>
      <c r="G391" s="24"/>
      <c r="H391" s="24"/>
      <c r="I391" s="24"/>
      <c r="J391" s="75"/>
      <c r="K391" s="24"/>
    </row>
    <row r="392" outlineLevel="1" spans="1:11">
      <c r="A392" s="24"/>
      <c r="B392" s="60" t="str">
        <f t="shared" si="16"/>
        <v>053D</v>
      </c>
      <c r="C392" s="69"/>
      <c r="D392" s="24"/>
      <c r="E392" s="24"/>
      <c r="F392" s="24"/>
      <c r="G392" s="24"/>
      <c r="H392" s="24"/>
      <c r="I392" s="24"/>
      <c r="J392" s="75"/>
      <c r="K392" s="24"/>
    </row>
    <row r="393" outlineLevel="1" spans="1:11">
      <c r="A393" s="24"/>
      <c r="B393" s="60" t="str">
        <f t="shared" si="16"/>
        <v>053E</v>
      </c>
      <c r="C393" s="69"/>
      <c r="D393" s="24"/>
      <c r="E393" s="24"/>
      <c r="F393" s="24"/>
      <c r="G393" s="24"/>
      <c r="H393" s="24"/>
      <c r="I393" s="24"/>
      <c r="J393" s="75"/>
      <c r="K393" s="24"/>
    </row>
    <row r="394" outlineLevel="1" spans="1:11">
      <c r="A394" s="24"/>
      <c r="B394" s="60" t="str">
        <f t="shared" si="16"/>
        <v>053F</v>
      </c>
      <c r="C394" s="69"/>
      <c r="D394" s="24"/>
      <c r="E394" s="24"/>
      <c r="F394" s="24"/>
      <c r="G394" s="24"/>
      <c r="H394" s="24"/>
      <c r="I394" s="24"/>
      <c r="J394" s="75"/>
      <c r="K394" s="24"/>
    </row>
    <row r="395" outlineLevel="1" spans="1:11">
      <c r="A395" s="24"/>
      <c r="B395" s="81"/>
      <c r="C395" s="67"/>
      <c r="D395" s="24"/>
      <c r="E395" s="24"/>
      <c r="F395" s="24"/>
      <c r="G395" s="24"/>
      <c r="H395" s="24"/>
      <c r="I395" s="24"/>
      <c r="J395" s="67"/>
      <c r="K395" s="24"/>
    </row>
    <row r="396" spans="1:11">
      <c r="A396" s="24"/>
      <c r="B396" s="81"/>
      <c r="C396" s="67"/>
      <c r="D396" s="24"/>
      <c r="E396" s="24"/>
      <c r="F396" s="24"/>
      <c r="G396" s="24"/>
      <c r="H396" s="24"/>
      <c r="I396" s="24"/>
      <c r="J396" s="67"/>
      <c r="K396" s="24"/>
    </row>
    <row r="397" spans="1:11">
      <c r="A397" s="66" t="s">
        <v>468</v>
      </c>
      <c r="B397" s="66"/>
      <c r="C397" s="66"/>
      <c r="D397" s="66"/>
      <c r="E397" s="66"/>
      <c r="F397" s="66"/>
      <c r="G397" s="66"/>
      <c r="H397" s="66"/>
      <c r="I397" s="66"/>
      <c r="J397" s="66"/>
      <c r="K397" s="66"/>
    </row>
    <row r="398" s="47" customFormat="1" customHeight="1" outlineLevel="1" spans="1:11">
      <c r="A398" s="59"/>
      <c r="B398" s="60" t="str">
        <f>DEC2HEX(1408+ROW()-ROW($B$398),4)</f>
        <v>0580</v>
      </c>
      <c r="C398" s="63" t="s">
        <v>469</v>
      </c>
      <c r="D398" s="59" t="s">
        <v>59</v>
      </c>
      <c r="E398" s="59"/>
      <c r="F398" s="59"/>
      <c r="G398" s="59"/>
      <c r="H398" s="59"/>
      <c r="I398" s="59" t="s">
        <v>38</v>
      </c>
      <c r="J398" s="72" t="s">
        <v>470</v>
      </c>
      <c r="K398" s="64" t="s">
        <v>61</v>
      </c>
    </row>
    <row r="399" s="47" customFormat="1" outlineLevel="1" spans="1:11">
      <c r="A399" s="59"/>
      <c r="B399" s="60" t="str">
        <f t="shared" ref="B399:B462" si="17">DEC2HEX(1408+ROW()-ROW($B$398),4)</f>
        <v>0581</v>
      </c>
      <c r="C399" s="63"/>
      <c r="D399" s="59"/>
      <c r="E399" s="59"/>
      <c r="F399" s="59"/>
      <c r="G399" s="59"/>
      <c r="H399" s="59"/>
      <c r="I399" s="59"/>
      <c r="J399" s="72"/>
      <c r="K399" s="64"/>
    </row>
    <row r="400" s="47" customFormat="1" outlineLevel="1" spans="1:11">
      <c r="A400" s="59"/>
      <c r="B400" s="60" t="str">
        <f t="shared" si="17"/>
        <v>0582</v>
      </c>
      <c r="C400" s="63"/>
      <c r="D400" s="59"/>
      <c r="E400" s="59"/>
      <c r="F400" s="59"/>
      <c r="G400" s="59"/>
      <c r="H400" s="59"/>
      <c r="I400" s="59"/>
      <c r="J400" s="72"/>
      <c r="K400" s="64"/>
    </row>
    <row r="401" s="47" customFormat="1" ht="66" customHeight="1" outlineLevel="1" spans="1:11">
      <c r="A401" s="59"/>
      <c r="B401" s="60" t="str">
        <f t="shared" si="17"/>
        <v>0583</v>
      </c>
      <c r="C401" s="63"/>
      <c r="D401" s="59"/>
      <c r="E401" s="59"/>
      <c r="F401" s="59"/>
      <c r="G401" s="59"/>
      <c r="H401" s="59"/>
      <c r="I401" s="59"/>
      <c r="J401" s="72"/>
      <c r="K401" s="64"/>
    </row>
    <row r="402" outlineLevel="1" spans="1:11">
      <c r="A402" s="24"/>
      <c r="B402" s="60" t="str">
        <f t="shared" si="17"/>
        <v>0584</v>
      </c>
      <c r="C402" s="67" t="s">
        <v>471</v>
      </c>
      <c r="D402" s="24" t="s">
        <v>89</v>
      </c>
      <c r="E402" s="24">
        <v>0.1</v>
      </c>
      <c r="F402" s="24" t="s">
        <v>44</v>
      </c>
      <c r="G402" s="24"/>
      <c r="H402" s="24"/>
      <c r="I402" s="24" t="s">
        <v>38</v>
      </c>
      <c r="J402" s="72" t="s">
        <v>472</v>
      </c>
      <c r="K402" s="64" t="s">
        <v>61</v>
      </c>
    </row>
    <row r="403" outlineLevel="1" spans="1:11">
      <c r="A403" s="24"/>
      <c r="B403" s="60" t="str">
        <f t="shared" si="17"/>
        <v>0585</v>
      </c>
      <c r="C403" s="67" t="s">
        <v>473</v>
      </c>
      <c r="D403" s="24" t="s">
        <v>89</v>
      </c>
      <c r="E403" s="24">
        <v>0.01</v>
      </c>
      <c r="F403" s="24" t="s">
        <v>303</v>
      </c>
      <c r="G403" s="24"/>
      <c r="H403" s="24"/>
      <c r="I403" s="24" t="s">
        <v>38</v>
      </c>
      <c r="J403" s="72" t="s">
        <v>474</v>
      </c>
      <c r="K403" s="64" t="s">
        <v>61</v>
      </c>
    </row>
    <row r="404" outlineLevel="1" spans="1:11">
      <c r="A404" s="24"/>
      <c r="B404" s="60" t="str">
        <f t="shared" si="17"/>
        <v>0586</v>
      </c>
      <c r="C404" s="67" t="s">
        <v>475</v>
      </c>
      <c r="D404" s="24" t="s">
        <v>89</v>
      </c>
      <c r="E404" s="24">
        <v>0.01</v>
      </c>
      <c r="F404" s="24" t="s">
        <v>284</v>
      </c>
      <c r="G404" s="24"/>
      <c r="H404" s="24"/>
      <c r="I404" s="24" t="s">
        <v>38</v>
      </c>
      <c r="J404" s="72" t="s">
        <v>476</v>
      </c>
      <c r="K404" s="64" t="s">
        <v>61</v>
      </c>
    </row>
    <row r="405" outlineLevel="1" spans="1:11">
      <c r="A405" s="24"/>
      <c r="B405" s="60" t="str">
        <f t="shared" si="17"/>
        <v>0587</v>
      </c>
      <c r="C405" s="67" t="s">
        <v>477</v>
      </c>
      <c r="D405" s="24" t="s">
        <v>89</v>
      </c>
      <c r="E405" s="24">
        <v>0.1</v>
      </c>
      <c r="F405" s="24" t="s">
        <v>44</v>
      </c>
      <c r="G405" s="24"/>
      <c r="H405" s="24"/>
      <c r="I405" s="24" t="s">
        <v>38</v>
      </c>
      <c r="J405" s="72" t="s">
        <v>478</v>
      </c>
      <c r="K405" s="64" t="s">
        <v>61</v>
      </c>
    </row>
    <row r="406" outlineLevel="1" spans="1:11">
      <c r="A406" s="24"/>
      <c r="B406" s="60" t="str">
        <f t="shared" si="17"/>
        <v>0588</v>
      </c>
      <c r="C406" s="67" t="s">
        <v>479</v>
      </c>
      <c r="D406" s="24" t="s">
        <v>89</v>
      </c>
      <c r="E406" s="24">
        <v>0.01</v>
      </c>
      <c r="F406" s="24" t="s">
        <v>303</v>
      </c>
      <c r="G406" s="24"/>
      <c r="H406" s="24"/>
      <c r="I406" s="24" t="s">
        <v>38</v>
      </c>
      <c r="J406" s="72" t="s">
        <v>480</v>
      </c>
      <c r="K406" s="64" t="s">
        <v>61</v>
      </c>
    </row>
    <row r="407" outlineLevel="1" spans="1:11">
      <c r="A407" s="24"/>
      <c r="B407" s="60" t="str">
        <f t="shared" si="17"/>
        <v>0589</v>
      </c>
      <c r="C407" s="67" t="s">
        <v>481</v>
      </c>
      <c r="D407" s="24" t="s">
        <v>89</v>
      </c>
      <c r="E407" s="24">
        <v>0.01</v>
      </c>
      <c r="F407" s="24" t="s">
        <v>284</v>
      </c>
      <c r="G407" s="24"/>
      <c r="H407" s="24"/>
      <c r="I407" s="24" t="s">
        <v>38</v>
      </c>
      <c r="J407" s="72" t="s">
        <v>482</v>
      </c>
      <c r="K407" s="64" t="s">
        <v>61</v>
      </c>
    </row>
    <row r="408" outlineLevel="1" spans="1:11">
      <c r="A408" s="24"/>
      <c r="B408" s="60" t="str">
        <f t="shared" si="17"/>
        <v>058A</v>
      </c>
      <c r="C408" s="67" t="s">
        <v>483</v>
      </c>
      <c r="D408" s="24" t="s">
        <v>89</v>
      </c>
      <c r="E408" s="24">
        <v>0.1</v>
      </c>
      <c r="F408" s="24" t="s">
        <v>44</v>
      </c>
      <c r="G408" s="24"/>
      <c r="H408" s="24"/>
      <c r="I408" s="24" t="s">
        <v>38</v>
      </c>
      <c r="J408" s="72" t="s">
        <v>484</v>
      </c>
      <c r="K408" s="64" t="s">
        <v>61</v>
      </c>
    </row>
    <row r="409" outlineLevel="1" spans="1:11">
      <c r="A409" s="24"/>
      <c r="B409" s="60" t="str">
        <f t="shared" si="17"/>
        <v>058B</v>
      </c>
      <c r="C409" s="67" t="s">
        <v>485</v>
      </c>
      <c r="D409" s="24" t="s">
        <v>89</v>
      </c>
      <c r="E409" s="24">
        <v>0.01</v>
      </c>
      <c r="F409" s="24" t="s">
        <v>303</v>
      </c>
      <c r="G409" s="24"/>
      <c r="H409" s="24"/>
      <c r="I409" s="24" t="s">
        <v>38</v>
      </c>
      <c r="J409" s="72" t="s">
        <v>486</v>
      </c>
      <c r="K409" s="64" t="s">
        <v>61</v>
      </c>
    </row>
    <row r="410" outlineLevel="1" spans="1:11">
      <c r="A410" s="24"/>
      <c r="B410" s="60" t="str">
        <f t="shared" si="17"/>
        <v>058C</v>
      </c>
      <c r="C410" s="67" t="s">
        <v>487</v>
      </c>
      <c r="D410" s="24" t="s">
        <v>89</v>
      </c>
      <c r="E410" s="24">
        <v>0.01</v>
      </c>
      <c r="F410" s="24" t="s">
        <v>284</v>
      </c>
      <c r="G410" s="24"/>
      <c r="H410" s="24"/>
      <c r="I410" s="24" t="s">
        <v>38</v>
      </c>
      <c r="J410" s="72" t="s">
        <v>488</v>
      </c>
      <c r="K410" s="64" t="s">
        <v>61</v>
      </c>
    </row>
    <row r="411" outlineLevel="1" spans="1:11">
      <c r="A411" s="24"/>
      <c r="B411" s="60" t="str">
        <f t="shared" si="17"/>
        <v>058D</v>
      </c>
      <c r="C411" s="67" t="s">
        <v>489</v>
      </c>
      <c r="D411" s="24" t="s">
        <v>89</v>
      </c>
      <c r="E411" s="24">
        <v>0.1</v>
      </c>
      <c r="F411" s="24" t="s">
        <v>44</v>
      </c>
      <c r="G411" s="24"/>
      <c r="H411" s="24"/>
      <c r="I411" s="24" t="s">
        <v>38</v>
      </c>
      <c r="J411" s="72" t="s">
        <v>490</v>
      </c>
      <c r="K411" s="64" t="s">
        <v>61</v>
      </c>
    </row>
    <row r="412" outlineLevel="1" spans="1:11">
      <c r="A412" s="24"/>
      <c r="B412" s="60" t="str">
        <f t="shared" si="17"/>
        <v>058E</v>
      </c>
      <c r="C412" s="67" t="s">
        <v>491</v>
      </c>
      <c r="D412" s="24" t="s">
        <v>89</v>
      </c>
      <c r="E412" s="24">
        <v>0.01</v>
      </c>
      <c r="F412" s="24" t="s">
        <v>303</v>
      </c>
      <c r="G412" s="24"/>
      <c r="H412" s="24"/>
      <c r="I412" s="24" t="s">
        <v>38</v>
      </c>
      <c r="J412" s="72" t="s">
        <v>492</v>
      </c>
      <c r="K412" s="64" t="s">
        <v>61</v>
      </c>
    </row>
    <row r="413" outlineLevel="1" spans="1:11">
      <c r="A413" s="24"/>
      <c r="B413" s="60" t="str">
        <f t="shared" si="17"/>
        <v>058F</v>
      </c>
      <c r="C413" s="67" t="s">
        <v>493</v>
      </c>
      <c r="D413" s="24" t="s">
        <v>89</v>
      </c>
      <c r="E413" s="24">
        <v>0.01</v>
      </c>
      <c r="F413" s="24" t="s">
        <v>284</v>
      </c>
      <c r="G413" s="24"/>
      <c r="H413" s="24"/>
      <c r="I413" s="24" t="s">
        <v>38</v>
      </c>
      <c r="J413" s="72" t="s">
        <v>494</v>
      </c>
      <c r="K413" s="64" t="s">
        <v>61</v>
      </c>
    </row>
    <row r="414" outlineLevel="1" spans="1:11">
      <c r="A414" s="24"/>
      <c r="B414" s="60" t="str">
        <f t="shared" si="17"/>
        <v>0590</v>
      </c>
      <c r="C414" s="67" t="s">
        <v>495</v>
      </c>
      <c r="D414" s="24" t="s">
        <v>89</v>
      </c>
      <c r="E414" s="24">
        <v>0.1</v>
      </c>
      <c r="F414" s="24" t="s">
        <v>44</v>
      </c>
      <c r="G414" s="24"/>
      <c r="H414" s="24"/>
      <c r="I414" s="24" t="s">
        <v>38</v>
      </c>
      <c r="J414" s="72" t="s">
        <v>496</v>
      </c>
      <c r="K414" s="64" t="s">
        <v>61</v>
      </c>
    </row>
    <row r="415" outlineLevel="1" spans="1:11">
      <c r="A415" s="24"/>
      <c r="B415" s="60" t="str">
        <f t="shared" si="17"/>
        <v>0591</v>
      </c>
      <c r="C415" s="67" t="s">
        <v>497</v>
      </c>
      <c r="D415" s="24" t="s">
        <v>89</v>
      </c>
      <c r="E415" s="24">
        <v>0.01</v>
      </c>
      <c r="F415" s="24" t="s">
        <v>303</v>
      </c>
      <c r="G415" s="24"/>
      <c r="H415" s="24"/>
      <c r="I415" s="24" t="s">
        <v>38</v>
      </c>
      <c r="J415" s="72" t="s">
        <v>498</v>
      </c>
      <c r="K415" s="64" t="s">
        <v>61</v>
      </c>
    </row>
    <row r="416" outlineLevel="1" spans="1:11">
      <c r="A416" s="24"/>
      <c r="B416" s="60" t="str">
        <f t="shared" si="17"/>
        <v>0592</v>
      </c>
      <c r="C416" s="67" t="s">
        <v>499</v>
      </c>
      <c r="D416" s="24" t="s">
        <v>89</v>
      </c>
      <c r="E416" s="24">
        <v>0.01</v>
      </c>
      <c r="F416" s="24" t="s">
        <v>284</v>
      </c>
      <c r="G416" s="24"/>
      <c r="H416" s="24"/>
      <c r="I416" s="24" t="s">
        <v>38</v>
      </c>
      <c r="J416" s="72" t="s">
        <v>500</v>
      </c>
      <c r="K416" s="64" t="s">
        <v>61</v>
      </c>
    </row>
    <row r="417" outlineLevel="1" spans="1:11">
      <c r="A417" s="24"/>
      <c r="B417" s="60" t="str">
        <f t="shared" si="17"/>
        <v>0593</v>
      </c>
      <c r="C417" s="67" t="s">
        <v>501</v>
      </c>
      <c r="D417" s="24" t="s">
        <v>89</v>
      </c>
      <c r="E417" s="24">
        <v>0.1</v>
      </c>
      <c r="F417" s="24" t="s">
        <v>44</v>
      </c>
      <c r="G417" s="24"/>
      <c r="H417" s="24"/>
      <c r="I417" s="24" t="s">
        <v>38</v>
      </c>
      <c r="J417" s="72" t="s">
        <v>502</v>
      </c>
      <c r="K417" s="64" t="s">
        <v>61</v>
      </c>
    </row>
    <row r="418" outlineLevel="1" spans="1:11">
      <c r="A418" s="24"/>
      <c r="B418" s="60" t="str">
        <f t="shared" si="17"/>
        <v>0594</v>
      </c>
      <c r="C418" s="67" t="s">
        <v>503</v>
      </c>
      <c r="D418" s="24" t="s">
        <v>89</v>
      </c>
      <c r="E418" s="24">
        <v>0.01</v>
      </c>
      <c r="F418" s="24" t="s">
        <v>303</v>
      </c>
      <c r="G418" s="24"/>
      <c r="H418" s="24"/>
      <c r="I418" s="24" t="s">
        <v>38</v>
      </c>
      <c r="J418" s="72" t="s">
        <v>504</v>
      </c>
      <c r="K418" s="64" t="s">
        <v>61</v>
      </c>
    </row>
    <row r="419" outlineLevel="1" spans="1:11">
      <c r="A419" s="24"/>
      <c r="B419" s="60" t="str">
        <f t="shared" si="17"/>
        <v>0595</v>
      </c>
      <c r="C419" s="67" t="s">
        <v>505</v>
      </c>
      <c r="D419" s="24" t="s">
        <v>89</v>
      </c>
      <c r="E419" s="24">
        <v>0.01</v>
      </c>
      <c r="F419" s="24" t="s">
        <v>284</v>
      </c>
      <c r="G419" s="24"/>
      <c r="H419" s="24"/>
      <c r="I419" s="24" t="s">
        <v>38</v>
      </c>
      <c r="J419" s="72" t="s">
        <v>506</v>
      </c>
      <c r="K419" s="64" t="s">
        <v>61</v>
      </c>
    </row>
    <row r="420" outlineLevel="1" spans="1:11">
      <c r="A420" s="24"/>
      <c r="B420" s="60" t="str">
        <f t="shared" si="17"/>
        <v>0596</v>
      </c>
      <c r="C420" s="67" t="s">
        <v>507</v>
      </c>
      <c r="D420" s="24" t="s">
        <v>89</v>
      </c>
      <c r="E420" s="24">
        <v>0.1</v>
      </c>
      <c r="F420" s="24" t="s">
        <v>44</v>
      </c>
      <c r="G420" s="24"/>
      <c r="H420" s="24"/>
      <c r="I420" s="24" t="s">
        <v>38</v>
      </c>
      <c r="J420" s="72" t="s">
        <v>508</v>
      </c>
      <c r="K420" s="64" t="s">
        <v>61</v>
      </c>
    </row>
    <row r="421" outlineLevel="1" spans="1:11">
      <c r="A421" s="24"/>
      <c r="B421" s="60" t="str">
        <f t="shared" si="17"/>
        <v>0597</v>
      </c>
      <c r="C421" s="67" t="s">
        <v>509</v>
      </c>
      <c r="D421" s="24" t="s">
        <v>89</v>
      </c>
      <c r="E421" s="24">
        <v>0.01</v>
      </c>
      <c r="F421" s="24" t="s">
        <v>303</v>
      </c>
      <c r="G421" s="24"/>
      <c r="H421" s="24"/>
      <c r="I421" s="24" t="s">
        <v>38</v>
      </c>
      <c r="J421" s="72" t="s">
        <v>510</v>
      </c>
      <c r="K421" s="64" t="s">
        <v>61</v>
      </c>
    </row>
    <row r="422" outlineLevel="1" spans="1:11">
      <c r="A422" s="24"/>
      <c r="B422" s="60" t="str">
        <f t="shared" si="17"/>
        <v>0598</v>
      </c>
      <c r="C422" s="67" t="s">
        <v>511</v>
      </c>
      <c r="D422" s="24" t="s">
        <v>89</v>
      </c>
      <c r="E422" s="24">
        <v>0.01</v>
      </c>
      <c r="F422" s="24" t="s">
        <v>284</v>
      </c>
      <c r="G422" s="24"/>
      <c r="H422" s="24"/>
      <c r="I422" s="24" t="s">
        <v>38</v>
      </c>
      <c r="J422" s="72" t="s">
        <v>512</v>
      </c>
      <c r="K422" s="64" t="s">
        <v>61</v>
      </c>
    </row>
    <row r="423" outlineLevel="1" spans="1:11">
      <c r="A423" s="24"/>
      <c r="B423" s="60" t="str">
        <f t="shared" si="17"/>
        <v>0599</v>
      </c>
      <c r="C423" s="67" t="s">
        <v>513</v>
      </c>
      <c r="D423" s="24" t="s">
        <v>89</v>
      </c>
      <c r="E423" s="24">
        <v>0.1</v>
      </c>
      <c r="F423" s="24" t="s">
        <v>44</v>
      </c>
      <c r="G423" s="24"/>
      <c r="H423" s="24"/>
      <c r="I423" s="24" t="s">
        <v>38</v>
      </c>
      <c r="J423" s="72" t="s">
        <v>514</v>
      </c>
      <c r="K423" s="64" t="s">
        <v>61</v>
      </c>
    </row>
    <row r="424" outlineLevel="1" spans="1:11">
      <c r="A424" s="24"/>
      <c r="B424" s="60" t="str">
        <f t="shared" si="17"/>
        <v>059A</v>
      </c>
      <c r="C424" s="67" t="s">
        <v>515</v>
      </c>
      <c r="D424" s="24" t="s">
        <v>89</v>
      </c>
      <c r="E424" s="24">
        <v>0.01</v>
      </c>
      <c r="F424" s="24" t="s">
        <v>303</v>
      </c>
      <c r="G424" s="24"/>
      <c r="H424" s="24"/>
      <c r="I424" s="24" t="s">
        <v>38</v>
      </c>
      <c r="J424" s="72" t="s">
        <v>516</v>
      </c>
      <c r="K424" s="64" t="s">
        <v>61</v>
      </c>
    </row>
    <row r="425" outlineLevel="1" spans="1:11">
      <c r="A425" s="24"/>
      <c r="B425" s="60" t="str">
        <f t="shared" si="17"/>
        <v>059B</v>
      </c>
      <c r="C425" s="67" t="s">
        <v>517</v>
      </c>
      <c r="D425" s="24" t="s">
        <v>89</v>
      </c>
      <c r="E425" s="24">
        <v>0.01</v>
      </c>
      <c r="F425" s="24" t="s">
        <v>284</v>
      </c>
      <c r="G425" s="24"/>
      <c r="H425" s="24"/>
      <c r="I425" s="24" t="s">
        <v>38</v>
      </c>
      <c r="J425" s="72" t="s">
        <v>518</v>
      </c>
      <c r="K425" s="64" t="s">
        <v>61</v>
      </c>
    </row>
    <row r="426" outlineLevel="1" spans="1:11">
      <c r="A426" s="24"/>
      <c r="B426" s="60" t="str">
        <f t="shared" si="17"/>
        <v>059C</v>
      </c>
      <c r="C426" s="67" t="s">
        <v>519</v>
      </c>
      <c r="D426" s="24" t="s">
        <v>89</v>
      </c>
      <c r="E426" s="24">
        <v>0.1</v>
      </c>
      <c r="F426" s="24" t="s">
        <v>44</v>
      </c>
      <c r="G426" s="24"/>
      <c r="H426" s="24"/>
      <c r="I426" s="24" t="s">
        <v>38</v>
      </c>
      <c r="J426" s="72" t="s">
        <v>520</v>
      </c>
      <c r="K426" s="64" t="s">
        <v>61</v>
      </c>
    </row>
    <row r="427" outlineLevel="1" spans="1:11">
      <c r="A427" s="24"/>
      <c r="B427" s="60" t="str">
        <f t="shared" si="17"/>
        <v>059D</v>
      </c>
      <c r="C427" s="67" t="s">
        <v>521</v>
      </c>
      <c r="D427" s="24" t="s">
        <v>89</v>
      </c>
      <c r="E427" s="24">
        <v>0.01</v>
      </c>
      <c r="F427" s="24" t="s">
        <v>303</v>
      </c>
      <c r="G427" s="24"/>
      <c r="H427" s="24"/>
      <c r="I427" s="24" t="s">
        <v>38</v>
      </c>
      <c r="J427" s="72" t="s">
        <v>522</v>
      </c>
      <c r="K427" s="64" t="s">
        <v>61</v>
      </c>
    </row>
    <row r="428" outlineLevel="1" spans="1:11">
      <c r="A428" s="24"/>
      <c r="B428" s="60" t="str">
        <f t="shared" si="17"/>
        <v>059E</v>
      </c>
      <c r="C428" s="67" t="s">
        <v>523</v>
      </c>
      <c r="D428" s="24" t="s">
        <v>89</v>
      </c>
      <c r="E428" s="24">
        <v>0.01</v>
      </c>
      <c r="F428" s="24" t="s">
        <v>284</v>
      </c>
      <c r="G428" s="24"/>
      <c r="H428" s="24"/>
      <c r="I428" s="24" t="s">
        <v>38</v>
      </c>
      <c r="J428" s="72" t="s">
        <v>524</v>
      </c>
      <c r="K428" s="64" t="s">
        <v>61</v>
      </c>
    </row>
    <row r="429" outlineLevel="1" spans="1:11">
      <c r="A429" s="24"/>
      <c r="B429" s="60" t="str">
        <f t="shared" si="17"/>
        <v>059F</v>
      </c>
      <c r="C429" s="67" t="s">
        <v>525</v>
      </c>
      <c r="D429" s="24" t="s">
        <v>89</v>
      </c>
      <c r="E429" s="24">
        <v>0.1</v>
      </c>
      <c r="F429" s="24" t="s">
        <v>44</v>
      </c>
      <c r="G429" s="24"/>
      <c r="H429" s="24"/>
      <c r="I429" s="24" t="s">
        <v>38</v>
      </c>
      <c r="J429" s="72" t="s">
        <v>526</v>
      </c>
      <c r="K429" s="64" t="s">
        <v>61</v>
      </c>
    </row>
    <row r="430" outlineLevel="1" spans="1:11">
      <c r="A430" s="24"/>
      <c r="B430" s="60" t="str">
        <f t="shared" si="17"/>
        <v>05A0</v>
      </c>
      <c r="C430" s="67" t="s">
        <v>527</v>
      </c>
      <c r="D430" s="24" t="s">
        <v>89</v>
      </c>
      <c r="E430" s="24">
        <v>0.01</v>
      </c>
      <c r="F430" s="24" t="s">
        <v>303</v>
      </c>
      <c r="G430" s="24"/>
      <c r="H430" s="24"/>
      <c r="I430" s="24" t="s">
        <v>38</v>
      </c>
      <c r="J430" s="72" t="s">
        <v>528</v>
      </c>
      <c r="K430" s="64" t="s">
        <v>61</v>
      </c>
    </row>
    <row r="431" outlineLevel="1" spans="1:11">
      <c r="A431" s="24"/>
      <c r="B431" s="60" t="str">
        <f t="shared" si="17"/>
        <v>05A1</v>
      </c>
      <c r="C431" s="67" t="s">
        <v>529</v>
      </c>
      <c r="D431" s="24" t="s">
        <v>89</v>
      </c>
      <c r="E431" s="24">
        <v>0.01</v>
      </c>
      <c r="F431" s="24" t="s">
        <v>284</v>
      </c>
      <c r="G431" s="24"/>
      <c r="H431" s="24"/>
      <c r="I431" s="24" t="s">
        <v>38</v>
      </c>
      <c r="J431" s="72" t="s">
        <v>530</v>
      </c>
      <c r="K431" s="64" t="s">
        <v>61</v>
      </c>
    </row>
    <row r="432" outlineLevel="1" spans="1:11">
      <c r="A432" s="24"/>
      <c r="B432" s="60" t="str">
        <f t="shared" si="17"/>
        <v>05A2</v>
      </c>
      <c r="C432" s="67" t="s">
        <v>531</v>
      </c>
      <c r="D432" s="24" t="s">
        <v>89</v>
      </c>
      <c r="E432" s="24">
        <v>0.1</v>
      </c>
      <c r="F432" s="24" t="s">
        <v>44</v>
      </c>
      <c r="G432" s="24"/>
      <c r="H432" s="24"/>
      <c r="I432" s="24" t="s">
        <v>38</v>
      </c>
      <c r="J432" s="72" t="s">
        <v>532</v>
      </c>
      <c r="K432" s="64" t="s">
        <v>61</v>
      </c>
    </row>
    <row r="433" outlineLevel="1" spans="1:11">
      <c r="A433" s="24"/>
      <c r="B433" s="60" t="str">
        <f t="shared" si="17"/>
        <v>05A3</v>
      </c>
      <c r="C433" s="67" t="s">
        <v>533</v>
      </c>
      <c r="D433" s="24" t="s">
        <v>89</v>
      </c>
      <c r="E433" s="24">
        <v>0.01</v>
      </c>
      <c r="F433" s="24" t="s">
        <v>303</v>
      </c>
      <c r="G433" s="24"/>
      <c r="H433" s="24"/>
      <c r="I433" s="24" t="s">
        <v>38</v>
      </c>
      <c r="J433" s="72" t="s">
        <v>534</v>
      </c>
      <c r="K433" s="64" t="s">
        <v>61</v>
      </c>
    </row>
    <row r="434" outlineLevel="1" spans="1:11">
      <c r="A434" s="24"/>
      <c r="B434" s="60" t="str">
        <f t="shared" si="17"/>
        <v>05A4</v>
      </c>
      <c r="C434" s="67" t="s">
        <v>535</v>
      </c>
      <c r="D434" s="24" t="s">
        <v>89</v>
      </c>
      <c r="E434" s="24">
        <v>0.01</v>
      </c>
      <c r="F434" s="24" t="s">
        <v>284</v>
      </c>
      <c r="G434" s="24"/>
      <c r="H434" s="24"/>
      <c r="I434" s="24" t="s">
        <v>38</v>
      </c>
      <c r="J434" s="72" t="s">
        <v>536</v>
      </c>
      <c r="K434" s="64" t="s">
        <v>61</v>
      </c>
    </row>
    <row r="435" outlineLevel="1" spans="1:11">
      <c r="A435" s="24"/>
      <c r="B435" s="60" t="str">
        <f t="shared" si="17"/>
        <v>05A5</v>
      </c>
      <c r="C435" s="67" t="s">
        <v>537</v>
      </c>
      <c r="D435" s="24" t="s">
        <v>89</v>
      </c>
      <c r="E435" s="24">
        <v>0.1</v>
      </c>
      <c r="F435" s="24" t="s">
        <v>44</v>
      </c>
      <c r="G435" s="24"/>
      <c r="H435" s="24"/>
      <c r="I435" s="24" t="s">
        <v>38</v>
      </c>
      <c r="J435" s="72" t="s">
        <v>538</v>
      </c>
      <c r="K435" s="64" t="s">
        <v>61</v>
      </c>
    </row>
    <row r="436" outlineLevel="1" spans="1:11">
      <c r="A436" s="24"/>
      <c r="B436" s="60" t="str">
        <f t="shared" si="17"/>
        <v>05A6</v>
      </c>
      <c r="C436" s="67" t="s">
        <v>539</v>
      </c>
      <c r="D436" s="24" t="s">
        <v>89</v>
      </c>
      <c r="E436" s="24">
        <v>0.01</v>
      </c>
      <c r="F436" s="24" t="s">
        <v>303</v>
      </c>
      <c r="G436" s="24"/>
      <c r="H436" s="24"/>
      <c r="I436" s="24" t="s">
        <v>38</v>
      </c>
      <c r="J436" s="72" t="s">
        <v>540</v>
      </c>
      <c r="K436" s="64" t="s">
        <v>61</v>
      </c>
    </row>
    <row r="437" outlineLevel="1" spans="1:11">
      <c r="A437" s="24"/>
      <c r="B437" s="60" t="str">
        <f t="shared" si="17"/>
        <v>05A7</v>
      </c>
      <c r="C437" s="67" t="s">
        <v>541</v>
      </c>
      <c r="D437" s="24" t="s">
        <v>89</v>
      </c>
      <c r="E437" s="24">
        <v>0.01</v>
      </c>
      <c r="F437" s="24" t="s">
        <v>284</v>
      </c>
      <c r="G437" s="24"/>
      <c r="H437" s="24"/>
      <c r="I437" s="24" t="s">
        <v>38</v>
      </c>
      <c r="J437" s="72" t="s">
        <v>542</v>
      </c>
      <c r="K437" s="64" t="s">
        <v>61</v>
      </c>
    </row>
    <row r="438" outlineLevel="1" spans="1:11">
      <c r="A438" s="24"/>
      <c r="B438" s="60" t="str">
        <f t="shared" si="17"/>
        <v>05A8</v>
      </c>
      <c r="C438" s="67" t="s">
        <v>543</v>
      </c>
      <c r="D438" s="24" t="s">
        <v>89</v>
      </c>
      <c r="E438" s="24">
        <v>0.1</v>
      </c>
      <c r="F438" s="24" t="s">
        <v>44</v>
      </c>
      <c r="G438" s="24"/>
      <c r="H438" s="24"/>
      <c r="I438" s="24" t="s">
        <v>38</v>
      </c>
      <c r="J438" s="72" t="s">
        <v>544</v>
      </c>
      <c r="K438" s="64" t="s">
        <v>61</v>
      </c>
    </row>
    <row r="439" outlineLevel="1" spans="1:11">
      <c r="A439" s="24"/>
      <c r="B439" s="60" t="str">
        <f t="shared" si="17"/>
        <v>05A9</v>
      </c>
      <c r="C439" s="67" t="s">
        <v>545</v>
      </c>
      <c r="D439" s="24" t="s">
        <v>89</v>
      </c>
      <c r="E439" s="24">
        <v>0.01</v>
      </c>
      <c r="F439" s="24" t="s">
        <v>303</v>
      </c>
      <c r="G439" s="24"/>
      <c r="H439" s="24"/>
      <c r="I439" s="24" t="s">
        <v>38</v>
      </c>
      <c r="J439" s="72" t="s">
        <v>546</v>
      </c>
      <c r="K439" s="64" t="s">
        <v>61</v>
      </c>
    </row>
    <row r="440" outlineLevel="1" spans="1:11">
      <c r="A440" s="24"/>
      <c r="B440" s="60" t="str">
        <f t="shared" si="17"/>
        <v>05AA</v>
      </c>
      <c r="C440" s="67" t="s">
        <v>547</v>
      </c>
      <c r="D440" s="24" t="s">
        <v>89</v>
      </c>
      <c r="E440" s="24">
        <v>0.01</v>
      </c>
      <c r="F440" s="24" t="s">
        <v>284</v>
      </c>
      <c r="G440" s="24"/>
      <c r="H440" s="24"/>
      <c r="I440" s="24" t="s">
        <v>38</v>
      </c>
      <c r="J440" s="72" t="s">
        <v>548</v>
      </c>
      <c r="K440" s="64" t="s">
        <v>61</v>
      </c>
    </row>
    <row r="441" outlineLevel="1" spans="1:11">
      <c r="A441" s="24"/>
      <c r="B441" s="60" t="str">
        <f t="shared" si="17"/>
        <v>05AB</v>
      </c>
      <c r="C441" s="67" t="s">
        <v>549</v>
      </c>
      <c r="D441" s="24" t="s">
        <v>89</v>
      </c>
      <c r="E441" s="24">
        <v>0.1</v>
      </c>
      <c r="F441" s="24" t="s">
        <v>44</v>
      </c>
      <c r="G441" s="24"/>
      <c r="H441" s="24"/>
      <c r="I441" s="24" t="s">
        <v>38</v>
      </c>
      <c r="J441" s="72" t="s">
        <v>550</v>
      </c>
      <c r="K441" s="64" t="s">
        <v>61</v>
      </c>
    </row>
    <row r="442" outlineLevel="1" spans="1:11">
      <c r="A442" s="24"/>
      <c r="B442" s="60" t="str">
        <f t="shared" si="17"/>
        <v>05AC</v>
      </c>
      <c r="C442" s="67" t="s">
        <v>551</v>
      </c>
      <c r="D442" s="24" t="s">
        <v>89</v>
      </c>
      <c r="E442" s="24">
        <v>0.01</v>
      </c>
      <c r="F442" s="24" t="s">
        <v>303</v>
      </c>
      <c r="G442" s="24"/>
      <c r="H442" s="24"/>
      <c r="I442" s="24" t="s">
        <v>38</v>
      </c>
      <c r="J442" s="72" t="s">
        <v>552</v>
      </c>
      <c r="K442" s="64" t="s">
        <v>61</v>
      </c>
    </row>
    <row r="443" outlineLevel="1" spans="1:11">
      <c r="A443" s="24"/>
      <c r="B443" s="60" t="str">
        <f t="shared" si="17"/>
        <v>05AD</v>
      </c>
      <c r="C443" s="67" t="s">
        <v>553</v>
      </c>
      <c r="D443" s="24" t="s">
        <v>89</v>
      </c>
      <c r="E443" s="24">
        <v>0.01</v>
      </c>
      <c r="F443" s="24" t="s">
        <v>284</v>
      </c>
      <c r="G443" s="24"/>
      <c r="H443" s="24"/>
      <c r="I443" s="24" t="s">
        <v>38</v>
      </c>
      <c r="J443" s="72" t="s">
        <v>554</v>
      </c>
      <c r="K443" s="64" t="s">
        <v>61</v>
      </c>
    </row>
    <row r="444" outlineLevel="1" spans="1:11">
      <c r="A444" s="24"/>
      <c r="B444" s="60" t="str">
        <f t="shared" si="17"/>
        <v>05AE</v>
      </c>
      <c r="C444" s="67" t="s">
        <v>555</v>
      </c>
      <c r="D444" s="24" t="s">
        <v>89</v>
      </c>
      <c r="E444" s="24">
        <v>0.1</v>
      </c>
      <c r="F444" s="24" t="s">
        <v>44</v>
      </c>
      <c r="G444" s="24"/>
      <c r="H444" s="24"/>
      <c r="I444" s="24" t="s">
        <v>38</v>
      </c>
      <c r="J444" s="72" t="s">
        <v>556</v>
      </c>
      <c r="K444" s="64" t="s">
        <v>61</v>
      </c>
    </row>
    <row r="445" outlineLevel="1" spans="1:11">
      <c r="A445" s="24"/>
      <c r="B445" s="60" t="str">
        <f t="shared" si="17"/>
        <v>05AF</v>
      </c>
      <c r="C445" s="67" t="s">
        <v>557</v>
      </c>
      <c r="D445" s="24" t="s">
        <v>89</v>
      </c>
      <c r="E445" s="24">
        <v>0.01</v>
      </c>
      <c r="F445" s="24" t="s">
        <v>303</v>
      </c>
      <c r="G445" s="24"/>
      <c r="H445" s="24"/>
      <c r="I445" s="24" t="s">
        <v>38</v>
      </c>
      <c r="J445" s="72" t="s">
        <v>558</v>
      </c>
      <c r="K445" s="64" t="s">
        <v>61</v>
      </c>
    </row>
    <row r="446" outlineLevel="1" spans="1:11">
      <c r="A446" s="24"/>
      <c r="B446" s="60" t="str">
        <f t="shared" si="17"/>
        <v>05B0</v>
      </c>
      <c r="C446" s="67" t="s">
        <v>559</v>
      </c>
      <c r="D446" s="24" t="s">
        <v>89</v>
      </c>
      <c r="E446" s="24">
        <v>0.01</v>
      </c>
      <c r="F446" s="24" t="s">
        <v>284</v>
      </c>
      <c r="G446" s="24"/>
      <c r="H446" s="24"/>
      <c r="I446" s="24" t="s">
        <v>38</v>
      </c>
      <c r="J446" s="72" t="s">
        <v>560</v>
      </c>
      <c r="K446" s="64" t="s">
        <v>61</v>
      </c>
    </row>
    <row r="447" outlineLevel="1" spans="1:11">
      <c r="A447" s="24"/>
      <c r="B447" s="60" t="str">
        <f t="shared" si="17"/>
        <v>05B1</v>
      </c>
      <c r="C447" s="67" t="s">
        <v>561</v>
      </c>
      <c r="D447" s="24" t="s">
        <v>89</v>
      </c>
      <c r="E447" s="24">
        <v>0.1</v>
      </c>
      <c r="F447" s="24" t="s">
        <v>44</v>
      </c>
      <c r="G447" s="24"/>
      <c r="H447" s="24"/>
      <c r="I447" s="24" t="s">
        <v>38</v>
      </c>
      <c r="J447" s="72" t="s">
        <v>562</v>
      </c>
      <c r="K447" s="64" t="s">
        <v>61</v>
      </c>
    </row>
    <row r="448" outlineLevel="1" spans="1:11">
      <c r="A448" s="24"/>
      <c r="B448" s="60" t="str">
        <f t="shared" si="17"/>
        <v>05B2</v>
      </c>
      <c r="C448" s="67" t="s">
        <v>563</v>
      </c>
      <c r="D448" s="24" t="s">
        <v>89</v>
      </c>
      <c r="E448" s="24">
        <v>0.01</v>
      </c>
      <c r="F448" s="24" t="s">
        <v>303</v>
      </c>
      <c r="G448" s="24"/>
      <c r="H448" s="24"/>
      <c r="I448" s="24" t="s">
        <v>38</v>
      </c>
      <c r="J448" s="72" t="s">
        <v>564</v>
      </c>
      <c r="K448" s="64" t="s">
        <v>61</v>
      </c>
    </row>
    <row r="449" outlineLevel="1" spans="1:11">
      <c r="A449" s="24"/>
      <c r="B449" s="60" t="str">
        <f t="shared" si="17"/>
        <v>05B3</v>
      </c>
      <c r="C449" s="67" t="s">
        <v>565</v>
      </c>
      <c r="D449" s="24" t="s">
        <v>89</v>
      </c>
      <c r="E449" s="24">
        <v>0.01</v>
      </c>
      <c r="F449" s="24" t="s">
        <v>284</v>
      </c>
      <c r="G449" s="24"/>
      <c r="H449" s="24"/>
      <c r="I449" s="24" t="s">
        <v>38</v>
      </c>
      <c r="J449" s="72" t="s">
        <v>566</v>
      </c>
      <c r="K449" s="64" t="s">
        <v>61</v>
      </c>
    </row>
    <row r="450" outlineLevel="1" spans="1:11">
      <c r="A450" s="24"/>
      <c r="B450" s="60" t="str">
        <f t="shared" si="17"/>
        <v>05B4</v>
      </c>
      <c r="C450" s="67"/>
      <c r="D450" s="24"/>
      <c r="E450" s="24"/>
      <c r="F450" s="24"/>
      <c r="G450" s="24"/>
      <c r="H450" s="24"/>
      <c r="I450" s="24"/>
      <c r="J450" s="67"/>
      <c r="K450" s="24"/>
    </row>
    <row r="451" outlineLevel="1" spans="1:11">
      <c r="A451" s="24"/>
      <c r="B451" s="60" t="str">
        <f t="shared" si="17"/>
        <v>05B5</v>
      </c>
      <c r="C451" s="67"/>
      <c r="D451" s="24"/>
      <c r="E451" s="24"/>
      <c r="F451" s="24"/>
      <c r="G451" s="24"/>
      <c r="H451" s="24"/>
      <c r="I451" s="24"/>
      <c r="J451" s="67"/>
      <c r="K451" s="24"/>
    </row>
    <row r="452" outlineLevel="1" spans="1:11">
      <c r="A452" s="24"/>
      <c r="B452" s="60" t="str">
        <f t="shared" si="17"/>
        <v>05B6</v>
      </c>
      <c r="C452" s="67"/>
      <c r="D452" s="24"/>
      <c r="E452" s="24"/>
      <c r="F452" s="24"/>
      <c r="G452" s="24"/>
      <c r="H452" s="24"/>
      <c r="I452" s="24"/>
      <c r="J452" s="67"/>
      <c r="K452" s="24"/>
    </row>
    <row r="453" outlineLevel="1" spans="1:11">
      <c r="A453" s="24"/>
      <c r="B453" s="60" t="str">
        <f t="shared" si="17"/>
        <v>05B7</v>
      </c>
      <c r="C453" s="67"/>
      <c r="D453" s="24"/>
      <c r="E453" s="24"/>
      <c r="F453" s="24"/>
      <c r="G453" s="24"/>
      <c r="H453" s="24"/>
      <c r="I453" s="24"/>
      <c r="J453" s="67"/>
      <c r="K453" s="24"/>
    </row>
    <row r="454" outlineLevel="1" spans="1:11">
      <c r="A454" s="24"/>
      <c r="B454" s="60" t="str">
        <f t="shared" si="17"/>
        <v>05B8</v>
      </c>
      <c r="C454" s="67"/>
      <c r="D454" s="24"/>
      <c r="E454" s="24"/>
      <c r="F454" s="24"/>
      <c r="G454" s="24"/>
      <c r="H454" s="24"/>
      <c r="I454" s="24"/>
      <c r="J454" s="67"/>
      <c r="K454" s="24"/>
    </row>
    <row r="455" outlineLevel="1" spans="1:11">
      <c r="A455" s="24"/>
      <c r="B455" s="60" t="str">
        <f t="shared" si="17"/>
        <v>05B9</v>
      </c>
      <c r="C455" s="67"/>
      <c r="D455" s="24"/>
      <c r="E455" s="24"/>
      <c r="F455" s="24"/>
      <c r="G455" s="24"/>
      <c r="H455" s="24"/>
      <c r="I455" s="24"/>
      <c r="J455" s="67"/>
      <c r="K455" s="24"/>
    </row>
    <row r="456" outlineLevel="1" spans="1:11">
      <c r="A456" s="24"/>
      <c r="B456" s="60" t="str">
        <f t="shared" si="17"/>
        <v>05BA</v>
      </c>
      <c r="C456" s="67"/>
      <c r="D456" s="24"/>
      <c r="E456" s="24"/>
      <c r="F456" s="24"/>
      <c r="G456" s="24"/>
      <c r="H456" s="24"/>
      <c r="I456" s="24"/>
      <c r="J456" s="67"/>
      <c r="K456" s="24"/>
    </row>
    <row r="457" outlineLevel="1" spans="1:11">
      <c r="A457" s="24"/>
      <c r="B457" s="60" t="str">
        <f t="shared" si="17"/>
        <v>05BB</v>
      </c>
      <c r="C457" s="67"/>
      <c r="D457" s="24"/>
      <c r="E457" s="24"/>
      <c r="F457" s="24"/>
      <c r="G457" s="24"/>
      <c r="H457" s="24"/>
      <c r="I457" s="24"/>
      <c r="J457" s="67"/>
      <c r="K457" s="24"/>
    </row>
    <row r="458" outlineLevel="1" spans="1:11">
      <c r="A458" s="24"/>
      <c r="B458" s="60" t="str">
        <f t="shared" si="17"/>
        <v>05BC</v>
      </c>
      <c r="C458" s="67"/>
      <c r="D458" s="24"/>
      <c r="E458" s="24"/>
      <c r="F458" s="24"/>
      <c r="G458" s="24"/>
      <c r="H458" s="24"/>
      <c r="I458" s="24"/>
      <c r="J458" s="67"/>
      <c r="K458" s="24"/>
    </row>
    <row r="459" outlineLevel="1" spans="1:11">
      <c r="A459" s="24"/>
      <c r="B459" s="60" t="str">
        <f t="shared" si="17"/>
        <v>05BD</v>
      </c>
      <c r="C459" s="67"/>
      <c r="D459" s="24"/>
      <c r="E459" s="24"/>
      <c r="F459" s="24"/>
      <c r="G459" s="24"/>
      <c r="H459" s="24"/>
      <c r="I459" s="24"/>
      <c r="J459" s="67"/>
      <c r="K459" s="24"/>
    </row>
    <row r="460" outlineLevel="1" spans="1:11">
      <c r="A460" s="24"/>
      <c r="B460" s="60" t="str">
        <f t="shared" si="17"/>
        <v>05BE</v>
      </c>
      <c r="C460" s="67"/>
      <c r="D460" s="24"/>
      <c r="E460" s="24"/>
      <c r="F460" s="24"/>
      <c r="G460" s="24"/>
      <c r="H460" s="24"/>
      <c r="I460" s="24"/>
      <c r="J460" s="67"/>
      <c r="K460" s="24"/>
    </row>
    <row r="461" outlineLevel="1" spans="1:11">
      <c r="A461" s="24"/>
      <c r="B461" s="60" t="str">
        <f t="shared" si="17"/>
        <v>05BF</v>
      </c>
      <c r="C461" s="67"/>
      <c r="D461" s="24"/>
      <c r="E461" s="24"/>
      <c r="F461" s="24"/>
      <c r="G461" s="24"/>
      <c r="H461" s="24"/>
      <c r="I461" s="24"/>
      <c r="J461" s="67"/>
      <c r="K461" s="24"/>
    </row>
    <row r="462" outlineLevel="1" spans="1:11">
      <c r="A462" s="24"/>
      <c r="B462" s="60" t="str">
        <f t="shared" si="17"/>
        <v>05C0</v>
      </c>
      <c r="C462" s="63" t="s">
        <v>567</v>
      </c>
      <c r="D462" s="59" t="s">
        <v>59</v>
      </c>
      <c r="E462" s="59"/>
      <c r="F462" s="59"/>
      <c r="G462" s="59"/>
      <c r="H462" s="59"/>
      <c r="I462" s="59" t="s">
        <v>38</v>
      </c>
      <c r="J462" s="72" t="s">
        <v>568</v>
      </c>
      <c r="K462" s="64" t="s">
        <v>61</v>
      </c>
    </row>
    <row r="463" outlineLevel="1" spans="1:11">
      <c r="A463" s="24"/>
      <c r="B463" s="60" t="str">
        <f t="shared" ref="B463:B513" si="18">DEC2HEX(1408+ROW()-ROW($B$398),4)</f>
        <v>05C1</v>
      </c>
      <c r="C463" s="63"/>
      <c r="D463" s="59"/>
      <c r="E463" s="59"/>
      <c r="F463" s="59"/>
      <c r="G463" s="59"/>
      <c r="H463" s="59"/>
      <c r="I463" s="59"/>
      <c r="J463" s="72"/>
      <c r="K463" s="64"/>
    </row>
    <row r="464" outlineLevel="1" spans="1:11">
      <c r="A464" s="24"/>
      <c r="B464" s="60" t="str">
        <f t="shared" si="18"/>
        <v>05C2</v>
      </c>
      <c r="C464" s="63"/>
      <c r="D464" s="59"/>
      <c r="E464" s="59"/>
      <c r="F464" s="59"/>
      <c r="G464" s="59"/>
      <c r="H464" s="59"/>
      <c r="I464" s="59"/>
      <c r="J464" s="72"/>
      <c r="K464" s="64"/>
    </row>
    <row r="465" ht="46" customHeight="1" outlineLevel="1" spans="1:11">
      <c r="A465" s="24"/>
      <c r="B465" s="60" t="str">
        <f t="shared" si="18"/>
        <v>05C3</v>
      </c>
      <c r="C465" s="63"/>
      <c r="D465" s="59"/>
      <c r="E465" s="59"/>
      <c r="F465" s="59"/>
      <c r="G465" s="59"/>
      <c r="H465" s="59"/>
      <c r="I465" s="59"/>
      <c r="J465" s="72"/>
      <c r="K465" s="64"/>
    </row>
    <row r="466" outlineLevel="1" spans="1:11">
      <c r="A466" s="24"/>
      <c r="B466" s="60" t="str">
        <f t="shared" si="18"/>
        <v>05C4</v>
      </c>
      <c r="C466" s="69" t="s">
        <v>569</v>
      </c>
      <c r="D466" s="76" t="s">
        <v>89</v>
      </c>
      <c r="E466" s="76">
        <v>0.1</v>
      </c>
      <c r="F466" s="76" t="s">
        <v>284</v>
      </c>
      <c r="G466" s="76"/>
      <c r="H466" s="76"/>
      <c r="I466" s="76" t="s">
        <v>38</v>
      </c>
      <c r="J466" s="72" t="s">
        <v>570</v>
      </c>
      <c r="K466" s="64" t="s">
        <v>61</v>
      </c>
    </row>
    <row r="467" outlineLevel="1" spans="1:11">
      <c r="A467" s="24"/>
      <c r="B467" s="60" t="str">
        <f t="shared" si="18"/>
        <v>05C5</v>
      </c>
      <c r="C467" s="67"/>
      <c r="D467" s="24"/>
      <c r="E467" s="24"/>
      <c r="F467" s="24"/>
      <c r="G467" s="24"/>
      <c r="H467" s="24"/>
      <c r="I467" s="24"/>
      <c r="J467" s="67"/>
      <c r="K467" s="24"/>
    </row>
    <row r="468" outlineLevel="1" spans="1:11">
      <c r="A468" s="24"/>
      <c r="B468" s="60" t="str">
        <f t="shared" si="18"/>
        <v>05C6</v>
      </c>
      <c r="C468" s="67"/>
      <c r="D468" s="24"/>
      <c r="E468" s="24"/>
      <c r="F468" s="24"/>
      <c r="G468" s="24"/>
      <c r="H468" s="24"/>
      <c r="I468" s="24"/>
      <c r="J468" s="67"/>
      <c r="K468" s="24"/>
    </row>
    <row r="469" outlineLevel="1" spans="1:11">
      <c r="A469" s="24"/>
      <c r="B469" s="60" t="str">
        <f t="shared" si="18"/>
        <v>05C7</v>
      </c>
      <c r="C469" s="67"/>
      <c r="D469" s="24"/>
      <c r="E469" s="24"/>
      <c r="F469" s="24"/>
      <c r="G469" s="24"/>
      <c r="H469" s="24"/>
      <c r="I469" s="24"/>
      <c r="J469" s="67"/>
      <c r="K469" s="24"/>
    </row>
    <row r="470" outlineLevel="1" spans="1:11">
      <c r="A470" s="24"/>
      <c r="B470" s="60" t="str">
        <f t="shared" si="18"/>
        <v>05C8</v>
      </c>
      <c r="C470" s="67"/>
      <c r="D470" s="24"/>
      <c r="E470" s="24"/>
      <c r="F470" s="24"/>
      <c r="G470" s="24"/>
      <c r="H470" s="24"/>
      <c r="I470" s="24"/>
      <c r="J470" s="67"/>
      <c r="K470" s="24"/>
    </row>
    <row r="471" outlineLevel="1" spans="1:11">
      <c r="A471" s="24"/>
      <c r="B471" s="60" t="str">
        <f t="shared" si="18"/>
        <v>05C9</v>
      </c>
      <c r="C471" s="67"/>
      <c r="D471" s="24"/>
      <c r="E471" s="24"/>
      <c r="F471" s="24"/>
      <c r="G471" s="24"/>
      <c r="H471" s="24"/>
      <c r="I471" s="24"/>
      <c r="J471" s="67"/>
      <c r="K471" s="24"/>
    </row>
    <row r="472" outlineLevel="1" spans="1:11">
      <c r="A472" s="24"/>
      <c r="B472" s="60" t="str">
        <f t="shared" si="18"/>
        <v>05CA</v>
      </c>
      <c r="C472" s="67"/>
      <c r="D472" s="24"/>
      <c r="E472" s="24"/>
      <c r="F472" s="24"/>
      <c r="G472" s="24"/>
      <c r="H472" s="24"/>
      <c r="I472" s="24"/>
      <c r="J472" s="67"/>
      <c r="K472" s="24"/>
    </row>
    <row r="473" outlineLevel="1" spans="1:11">
      <c r="A473" s="24"/>
      <c r="B473" s="60" t="str">
        <f t="shared" si="18"/>
        <v>05CB</v>
      </c>
      <c r="C473" s="67"/>
      <c r="D473" s="24"/>
      <c r="E473" s="24"/>
      <c r="F473" s="24"/>
      <c r="G473" s="24"/>
      <c r="H473" s="24"/>
      <c r="I473" s="24"/>
      <c r="J473" s="67"/>
      <c r="K473" s="24"/>
    </row>
    <row r="474" outlineLevel="1" spans="1:11">
      <c r="A474" s="24"/>
      <c r="B474" s="60" t="str">
        <f t="shared" si="18"/>
        <v>05CC</v>
      </c>
      <c r="C474" s="67"/>
      <c r="D474" s="24"/>
      <c r="E474" s="24"/>
      <c r="F474" s="24"/>
      <c r="G474" s="24"/>
      <c r="H474" s="24"/>
      <c r="I474" s="24"/>
      <c r="J474" s="67"/>
      <c r="K474" s="24"/>
    </row>
    <row r="475" outlineLevel="1" spans="1:11">
      <c r="A475" s="24"/>
      <c r="B475" s="60" t="str">
        <f t="shared" si="18"/>
        <v>05CD</v>
      </c>
      <c r="C475" s="67"/>
      <c r="D475" s="24"/>
      <c r="E475" s="24"/>
      <c r="F475" s="24"/>
      <c r="G475" s="24"/>
      <c r="H475" s="24"/>
      <c r="I475" s="24"/>
      <c r="J475" s="67"/>
      <c r="K475" s="24"/>
    </row>
    <row r="476" outlineLevel="1" spans="1:11">
      <c r="A476" s="24"/>
      <c r="B476" s="60" t="str">
        <f t="shared" si="18"/>
        <v>05CE</v>
      </c>
      <c r="C476" s="67"/>
      <c r="D476" s="24"/>
      <c r="E476" s="24"/>
      <c r="F476" s="24"/>
      <c r="G476" s="24"/>
      <c r="H476" s="24"/>
      <c r="I476" s="24"/>
      <c r="J476" s="67"/>
      <c r="K476" s="24"/>
    </row>
    <row r="477" outlineLevel="1" spans="1:11">
      <c r="A477" s="24"/>
      <c r="B477" s="60" t="str">
        <f t="shared" si="18"/>
        <v>05CF</v>
      </c>
      <c r="C477" s="67"/>
      <c r="D477" s="24"/>
      <c r="E477" s="24"/>
      <c r="F477" s="24"/>
      <c r="G477" s="24"/>
      <c r="H477" s="24"/>
      <c r="I477" s="24"/>
      <c r="J477" s="67"/>
      <c r="K477" s="24"/>
    </row>
    <row r="478" outlineLevel="1" spans="1:11">
      <c r="A478" s="24"/>
      <c r="B478" s="60" t="str">
        <f t="shared" si="18"/>
        <v>05D0</v>
      </c>
      <c r="C478" s="67"/>
      <c r="D478" s="24"/>
      <c r="E478" s="24"/>
      <c r="F478" s="24"/>
      <c r="G478" s="24"/>
      <c r="H478" s="24"/>
      <c r="I478" s="24"/>
      <c r="J478" s="67"/>
      <c r="K478" s="24"/>
    </row>
    <row r="479" outlineLevel="1" spans="1:11">
      <c r="A479" s="24"/>
      <c r="B479" s="60" t="str">
        <f t="shared" si="18"/>
        <v>05D1</v>
      </c>
      <c r="C479" s="67"/>
      <c r="D479" s="24"/>
      <c r="E479" s="24"/>
      <c r="F479" s="24"/>
      <c r="G479" s="24"/>
      <c r="H479" s="24"/>
      <c r="I479" s="24"/>
      <c r="J479" s="67"/>
      <c r="K479" s="24"/>
    </row>
    <row r="480" outlineLevel="1" spans="1:11">
      <c r="A480" s="24"/>
      <c r="B480" s="60" t="str">
        <f t="shared" si="18"/>
        <v>05D2</v>
      </c>
      <c r="C480" s="67"/>
      <c r="D480" s="24"/>
      <c r="E480" s="24"/>
      <c r="F480" s="24"/>
      <c r="G480" s="24"/>
      <c r="H480" s="24"/>
      <c r="I480" s="24"/>
      <c r="J480" s="67"/>
      <c r="K480" s="24"/>
    </row>
    <row r="481" outlineLevel="1" spans="1:11">
      <c r="A481" s="24"/>
      <c r="B481" s="60" t="str">
        <f t="shared" si="18"/>
        <v>05D3</v>
      </c>
      <c r="C481" s="67"/>
      <c r="D481" s="24"/>
      <c r="E481" s="24"/>
      <c r="F481" s="24"/>
      <c r="G481" s="24"/>
      <c r="H481" s="24"/>
      <c r="I481" s="24"/>
      <c r="J481" s="67"/>
      <c r="K481" s="24"/>
    </row>
    <row r="482" outlineLevel="1" spans="1:11">
      <c r="A482" s="24"/>
      <c r="B482" s="60" t="str">
        <f t="shared" si="18"/>
        <v>05D4</v>
      </c>
      <c r="C482" s="67"/>
      <c r="D482" s="24"/>
      <c r="E482" s="24"/>
      <c r="F482" s="24"/>
      <c r="G482" s="24"/>
      <c r="H482" s="24"/>
      <c r="I482" s="24"/>
      <c r="J482" s="67"/>
      <c r="K482" s="24"/>
    </row>
    <row r="483" outlineLevel="1" spans="1:11">
      <c r="A483" s="24"/>
      <c r="B483" s="60" t="str">
        <f t="shared" si="18"/>
        <v>05D5</v>
      </c>
      <c r="C483" s="67"/>
      <c r="D483" s="24"/>
      <c r="E483" s="24"/>
      <c r="F483" s="24"/>
      <c r="G483" s="24"/>
      <c r="H483" s="24"/>
      <c r="I483" s="24"/>
      <c r="J483" s="67"/>
      <c r="K483" s="24"/>
    </row>
    <row r="484" outlineLevel="1" spans="1:11">
      <c r="A484" s="24"/>
      <c r="B484" s="60" t="str">
        <f t="shared" si="18"/>
        <v>05D6</v>
      </c>
      <c r="C484" s="67"/>
      <c r="D484" s="24"/>
      <c r="E484" s="24"/>
      <c r="F484" s="24"/>
      <c r="G484" s="24"/>
      <c r="H484" s="24"/>
      <c r="I484" s="24"/>
      <c r="J484" s="67"/>
      <c r="K484" s="24"/>
    </row>
    <row r="485" outlineLevel="1" spans="1:11">
      <c r="A485" s="24"/>
      <c r="B485" s="60" t="str">
        <f t="shared" si="18"/>
        <v>05D7</v>
      </c>
      <c r="C485" s="67"/>
      <c r="D485" s="24"/>
      <c r="E485" s="24"/>
      <c r="F485" s="24"/>
      <c r="G485" s="24"/>
      <c r="H485" s="24"/>
      <c r="I485" s="24"/>
      <c r="J485" s="67"/>
      <c r="K485" s="24"/>
    </row>
    <row r="486" outlineLevel="1" spans="1:11">
      <c r="A486" s="24"/>
      <c r="B486" s="60" t="str">
        <f t="shared" si="18"/>
        <v>05D8</v>
      </c>
      <c r="C486" s="67"/>
      <c r="D486" s="24"/>
      <c r="E486" s="24"/>
      <c r="F486" s="24"/>
      <c r="G486" s="24"/>
      <c r="H486" s="24"/>
      <c r="I486" s="24"/>
      <c r="J486" s="67"/>
      <c r="K486" s="24"/>
    </row>
    <row r="487" outlineLevel="1" spans="1:11">
      <c r="A487" s="24"/>
      <c r="B487" s="60" t="str">
        <f t="shared" si="18"/>
        <v>05D9</v>
      </c>
      <c r="C487" s="67"/>
      <c r="D487" s="24"/>
      <c r="E487" s="24"/>
      <c r="F487" s="24"/>
      <c r="G487" s="24"/>
      <c r="H487" s="24"/>
      <c r="I487" s="24"/>
      <c r="J487" s="67"/>
      <c r="K487" s="24"/>
    </row>
    <row r="488" outlineLevel="1" spans="1:11">
      <c r="A488" s="24"/>
      <c r="B488" s="60" t="str">
        <f t="shared" si="18"/>
        <v>05DA</v>
      </c>
      <c r="C488" s="67"/>
      <c r="D488" s="24"/>
      <c r="E488" s="24"/>
      <c r="F488" s="24"/>
      <c r="G488" s="24"/>
      <c r="H488" s="24"/>
      <c r="I488" s="24"/>
      <c r="J488" s="67"/>
      <c r="K488" s="24"/>
    </row>
    <row r="489" outlineLevel="1" spans="1:11">
      <c r="A489" s="24"/>
      <c r="B489" s="60" t="str">
        <f t="shared" si="18"/>
        <v>05DB</v>
      </c>
      <c r="C489" s="67"/>
      <c r="D489" s="24"/>
      <c r="E489" s="24"/>
      <c r="F489" s="24"/>
      <c r="G489" s="24"/>
      <c r="H489" s="24"/>
      <c r="I489" s="24"/>
      <c r="J489" s="67"/>
      <c r="K489" s="24"/>
    </row>
    <row r="490" outlineLevel="1" spans="1:11">
      <c r="A490" s="24"/>
      <c r="B490" s="60" t="str">
        <f t="shared" si="18"/>
        <v>05DC</v>
      </c>
      <c r="C490" s="67"/>
      <c r="D490" s="24"/>
      <c r="E490" s="24"/>
      <c r="F490" s="24"/>
      <c r="G490" s="24"/>
      <c r="H490" s="24"/>
      <c r="I490" s="24"/>
      <c r="J490" s="67"/>
      <c r="K490" s="24"/>
    </row>
    <row r="491" outlineLevel="1" spans="1:11">
      <c r="A491" s="24"/>
      <c r="B491" s="60" t="str">
        <f t="shared" si="18"/>
        <v>05DD</v>
      </c>
      <c r="C491" s="67"/>
      <c r="D491" s="24"/>
      <c r="E491" s="24"/>
      <c r="F491" s="24"/>
      <c r="G491" s="24"/>
      <c r="H491" s="24"/>
      <c r="I491" s="24"/>
      <c r="J491" s="67"/>
      <c r="K491" s="24"/>
    </row>
    <row r="492" outlineLevel="1" spans="1:11">
      <c r="A492" s="24"/>
      <c r="B492" s="60" t="str">
        <f t="shared" si="18"/>
        <v>05DE</v>
      </c>
      <c r="C492" s="67"/>
      <c r="D492" s="24"/>
      <c r="E492" s="24"/>
      <c r="F492" s="24"/>
      <c r="G492" s="24"/>
      <c r="H492" s="24"/>
      <c r="I492" s="24"/>
      <c r="J492" s="67"/>
      <c r="K492" s="24"/>
    </row>
    <row r="493" outlineLevel="1" spans="1:11">
      <c r="A493" s="24"/>
      <c r="B493" s="60" t="str">
        <f t="shared" si="18"/>
        <v>05DF</v>
      </c>
      <c r="C493" s="67"/>
      <c r="D493" s="24"/>
      <c r="E493" s="24"/>
      <c r="F493" s="24"/>
      <c r="G493" s="24"/>
      <c r="H493" s="24"/>
      <c r="I493" s="24"/>
      <c r="J493" s="67"/>
      <c r="K493" s="24"/>
    </row>
    <row r="494" outlineLevel="1" spans="1:11">
      <c r="A494" s="24"/>
      <c r="B494" s="60" t="str">
        <f t="shared" si="18"/>
        <v>05E0</v>
      </c>
      <c r="C494" s="67"/>
      <c r="D494" s="24"/>
      <c r="E494" s="24"/>
      <c r="F494" s="24"/>
      <c r="G494" s="24"/>
      <c r="H494" s="24"/>
      <c r="I494" s="24"/>
      <c r="J494" s="67"/>
      <c r="K494" s="24"/>
    </row>
    <row r="495" outlineLevel="1" spans="1:11">
      <c r="A495" s="24"/>
      <c r="B495" s="60" t="str">
        <f t="shared" si="18"/>
        <v>05E1</v>
      </c>
      <c r="C495" s="67"/>
      <c r="D495" s="24"/>
      <c r="E495" s="24"/>
      <c r="F495" s="24"/>
      <c r="G495" s="24"/>
      <c r="H495" s="24"/>
      <c r="I495" s="24"/>
      <c r="J495" s="67"/>
      <c r="K495" s="24"/>
    </row>
    <row r="496" outlineLevel="1" spans="1:11">
      <c r="A496" s="24"/>
      <c r="B496" s="60" t="str">
        <f t="shared" si="18"/>
        <v>05E2</v>
      </c>
      <c r="C496" s="67"/>
      <c r="D496" s="24"/>
      <c r="E496" s="24"/>
      <c r="F496" s="24"/>
      <c r="G496" s="24"/>
      <c r="H496" s="24"/>
      <c r="I496" s="24"/>
      <c r="J496" s="67"/>
      <c r="K496" s="24"/>
    </row>
    <row r="497" outlineLevel="1" spans="1:11">
      <c r="A497" s="24"/>
      <c r="B497" s="60" t="str">
        <f t="shared" si="18"/>
        <v>05E3</v>
      </c>
      <c r="C497" s="67"/>
      <c r="D497" s="24"/>
      <c r="E497" s="24"/>
      <c r="F497" s="24"/>
      <c r="G497" s="24"/>
      <c r="H497" s="24"/>
      <c r="I497" s="24"/>
      <c r="J497" s="67"/>
      <c r="K497" s="24"/>
    </row>
    <row r="498" outlineLevel="1" spans="1:11">
      <c r="A498" s="24"/>
      <c r="B498" s="60" t="str">
        <f t="shared" si="18"/>
        <v>05E4</v>
      </c>
      <c r="C498" s="67"/>
      <c r="D498" s="24"/>
      <c r="E498" s="24"/>
      <c r="F498" s="24"/>
      <c r="G498" s="24"/>
      <c r="H498" s="24"/>
      <c r="I498" s="24"/>
      <c r="J498" s="67"/>
      <c r="K498" s="24"/>
    </row>
    <row r="499" outlineLevel="1" spans="1:11">
      <c r="A499" s="24"/>
      <c r="B499" s="60" t="str">
        <f t="shared" si="18"/>
        <v>05E5</v>
      </c>
      <c r="C499" s="67"/>
      <c r="D499" s="24"/>
      <c r="E499" s="24"/>
      <c r="F499" s="24"/>
      <c r="G499" s="24"/>
      <c r="H499" s="24"/>
      <c r="I499" s="24"/>
      <c r="J499" s="67"/>
      <c r="K499" s="24"/>
    </row>
    <row r="500" outlineLevel="1" spans="1:11">
      <c r="A500" s="24"/>
      <c r="B500" s="60" t="str">
        <f t="shared" si="18"/>
        <v>05E6</v>
      </c>
      <c r="C500" s="67"/>
      <c r="D500" s="24"/>
      <c r="E500" s="24"/>
      <c r="F500" s="24"/>
      <c r="G500" s="24"/>
      <c r="H500" s="24"/>
      <c r="I500" s="24"/>
      <c r="J500" s="67"/>
      <c r="K500" s="24"/>
    </row>
    <row r="501" outlineLevel="1" spans="1:11">
      <c r="A501" s="24"/>
      <c r="B501" s="60" t="str">
        <f t="shared" si="18"/>
        <v>05E7</v>
      </c>
      <c r="C501" s="67"/>
      <c r="D501" s="24"/>
      <c r="E501" s="24"/>
      <c r="F501" s="24"/>
      <c r="G501" s="24"/>
      <c r="H501" s="24"/>
      <c r="I501" s="24"/>
      <c r="J501" s="67"/>
      <c r="K501" s="24"/>
    </row>
    <row r="502" outlineLevel="1" spans="1:11">
      <c r="A502" s="24"/>
      <c r="B502" s="60" t="str">
        <f t="shared" si="18"/>
        <v>05E8</v>
      </c>
      <c r="C502" s="67"/>
      <c r="D502" s="24"/>
      <c r="E502" s="24"/>
      <c r="F502" s="24"/>
      <c r="G502" s="24"/>
      <c r="H502" s="24"/>
      <c r="I502" s="24"/>
      <c r="J502" s="67"/>
      <c r="K502" s="24"/>
    </row>
    <row r="503" outlineLevel="1" spans="1:11">
      <c r="A503" s="24"/>
      <c r="B503" s="60" t="str">
        <f t="shared" si="18"/>
        <v>05E9</v>
      </c>
      <c r="C503" s="67"/>
      <c r="D503" s="24"/>
      <c r="E503" s="24"/>
      <c r="F503" s="24"/>
      <c r="G503" s="24"/>
      <c r="H503" s="24"/>
      <c r="I503" s="24"/>
      <c r="J503" s="67"/>
      <c r="K503" s="24"/>
    </row>
    <row r="504" outlineLevel="1" spans="1:11">
      <c r="A504" s="24"/>
      <c r="B504" s="60" t="str">
        <f t="shared" si="18"/>
        <v>05EA</v>
      </c>
      <c r="C504" s="67"/>
      <c r="D504" s="24"/>
      <c r="E504" s="24"/>
      <c r="F504" s="24"/>
      <c r="G504" s="24"/>
      <c r="H504" s="24"/>
      <c r="I504" s="24"/>
      <c r="J504" s="67"/>
      <c r="K504" s="24"/>
    </row>
    <row r="505" outlineLevel="1" spans="1:11">
      <c r="A505" s="24"/>
      <c r="B505" s="60" t="str">
        <f t="shared" si="18"/>
        <v>05EB</v>
      </c>
      <c r="C505" s="67"/>
      <c r="D505" s="24"/>
      <c r="E505" s="24"/>
      <c r="F505" s="24"/>
      <c r="G505" s="24"/>
      <c r="H505" s="24"/>
      <c r="I505" s="24"/>
      <c r="J505" s="67"/>
      <c r="K505" s="24"/>
    </row>
    <row r="506" outlineLevel="1" spans="1:11">
      <c r="A506" s="24"/>
      <c r="B506" s="60" t="str">
        <f t="shared" si="18"/>
        <v>05EC</v>
      </c>
      <c r="C506" s="67"/>
      <c r="D506" s="24"/>
      <c r="E506" s="24"/>
      <c r="F506" s="24"/>
      <c r="G506" s="24"/>
      <c r="H506" s="24"/>
      <c r="I506" s="24"/>
      <c r="J506" s="67"/>
      <c r="K506" s="24"/>
    </row>
    <row r="507" outlineLevel="1" spans="1:11">
      <c r="A507" s="24"/>
      <c r="B507" s="60" t="str">
        <f t="shared" si="18"/>
        <v>05ED</v>
      </c>
      <c r="C507" s="67"/>
      <c r="D507" s="24"/>
      <c r="E507" s="24"/>
      <c r="F507" s="24"/>
      <c r="G507" s="24"/>
      <c r="H507" s="24"/>
      <c r="I507" s="24"/>
      <c r="J507" s="67"/>
      <c r="K507" s="24"/>
    </row>
    <row r="508" outlineLevel="1" spans="1:11">
      <c r="A508" s="24"/>
      <c r="B508" s="60" t="str">
        <f t="shared" si="18"/>
        <v>05EE</v>
      </c>
      <c r="C508" s="67"/>
      <c r="D508" s="24"/>
      <c r="E508" s="24"/>
      <c r="F508" s="24"/>
      <c r="G508" s="24"/>
      <c r="H508" s="24"/>
      <c r="I508" s="24"/>
      <c r="J508" s="67"/>
      <c r="K508" s="24"/>
    </row>
    <row r="509" outlineLevel="1" spans="1:11">
      <c r="A509" s="24"/>
      <c r="B509" s="60" t="str">
        <f t="shared" si="18"/>
        <v>05EF</v>
      </c>
      <c r="C509" s="67"/>
      <c r="D509" s="24"/>
      <c r="E509" s="24"/>
      <c r="F509" s="24"/>
      <c r="G509" s="24"/>
      <c r="H509" s="24"/>
      <c r="I509" s="24"/>
      <c r="J509" s="67"/>
      <c r="K509" s="24"/>
    </row>
    <row r="510" outlineLevel="1" spans="1:11">
      <c r="A510" s="24"/>
      <c r="B510" s="60" t="str">
        <f t="shared" si="18"/>
        <v>05F0</v>
      </c>
      <c r="C510" s="67"/>
      <c r="D510" s="24"/>
      <c r="E510" s="24"/>
      <c r="F510" s="24"/>
      <c r="G510" s="24"/>
      <c r="H510" s="24"/>
      <c r="I510" s="24"/>
      <c r="J510" s="67"/>
      <c r="K510" s="24"/>
    </row>
    <row r="511" outlineLevel="1" spans="1:11">
      <c r="A511" s="24"/>
      <c r="B511" s="60" t="str">
        <f t="shared" si="18"/>
        <v>05F1</v>
      </c>
      <c r="C511" s="67"/>
      <c r="D511" s="24"/>
      <c r="E511" s="24"/>
      <c r="F511" s="24"/>
      <c r="G511" s="24"/>
      <c r="H511" s="24"/>
      <c r="I511" s="24"/>
      <c r="J511" s="67"/>
      <c r="K511" s="24"/>
    </row>
    <row r="512" outlineLevel="1" spans="1:11">
      <c r="A512" s="24"/>
      <c r="B512" s="60" t="str">
        <f t="shared" si="18"/>
        <v>05F2</v>
      </c>
      <c r="C512" s="67"/>
      <c r="D512" s="24"/>
      <c r="E512" s="24"/>
      <c r="F512" s="24"/>
      <c r="G512" s="24"/>
      <c r="H512" s="24"/>
      <c r="I512" s="24"/>
      <c r="J512" s="67"/>
      <c r="K512" s="24"/>
    </row>
    <row r="513" outlineLevel="1" spans="1:11">
      <c r="A513" s="24"/>
      <c r="B513" s="60" t="str">
        <f t="shared" si="18"/>
        <v>05F3</v>
      </c>
      <c r="C513" s="67"/>
      <c r="D513" s="24"/>
      <c r="E513" s="24"/>
      <c r="F513" s="24"/>
      <c r="G513" s="24"/>
      <c r="H513" s="24"/>
      <c r="I513" s="24"/>
      <c r="J513" s="67"/>
      <c r="K513" s="24"/>
    </row>
    <row r="514" outlineLevel="1" spans="1:11">
      <c r="A514" s="24"/>
      <c r="B514" s="81"/>
      <c r="C514" s="84"/>
      <c r="D514" s="24"/>
      <c r="E514" s="24"/>
      <c r="F514" s="24"/>
      <c r="G514" s="24"/>
      <c r="H514" s="24"/>
      <c r="I514" s="24"/>
      <c r="J514" s="67"/>
      <c r="K514" s="24"/>
    </row>
    <row r="515" outlineLevel="1" spans="1:11">
      <c r="A515" s="24"/>
      <c r="B515" s="81"/>
      <c r="C515" s="67"/>
      <c r="D515" s="24"/>
      <c r="E515" s="24"/>
      <c r="F515" s="24"/>
      <c r="G515" s="24"/>
      <c r="H515" s="24"/>
      <c r="I515" s="24"/>
      <c r="J515" s="67"/>
      <c r="K515" s="24"/>
    </row>
    <row r="516" spans="1:11">
      <c r="A516" s="24"/>
      <c r="B516" s="81"/>
      <c r="C516" s="67"/>
      <c r="D516" s="24"/>
      <c r="E516" s="24"/>
      <c r="F516" s="24"/>
      <c r="G516" s="24"/>
      <c r="H516" s="24"/>
      <c r="I516" s="24"/>
      <c r="J516" s="67"/>
      <c r="K516" s="24"/>
    </row>
    <row r="517" spans="1:11">
      <c r="A517" s="66" t="s">
        <v>571</v>
      </c>
      <c r="B517" s="66"/>
      <c r="C517" s="66"/>
      <c r="D517" s="66"/>
      <c r="E517" s="66"/>
      <c r="F517" s="66"/>
      <c r="G517" s="66"/>
      <c r="H517" s="66"/>
      <c r="I517" s="66"/>
      <c r="J517" s="66"/>
      <c r="K517" s="66"/>
    </row>
    <row r="518" s="47" customFormat="1" customHeight="1" outlineLevel="1" spans="1:11">
      <c r="A518" s="59"/>
      <c r="B518" s="60" t="str">
        <f>DEC2HEX(1536+ROW()-ROW($B$518),4)</f>
        <v>0600</v>
      </c>
      <c r="C518" s="63" t="s">
        <v>572</v>
      </c>
      <c r="D518" s="59" t="s">
        <v>59</v>
      </c>
      <c r="E518" s="59"/>
      <c r="F518" s="59"/>
      <c r="G518" s="59"/>
      <c r="H518" s="59"/>
      <c r="I518" s="59" t="s">
        <v>38</v>
      </c>
      <c r="J518" s="72" t="s">
        <v>573</v>
      </c>
      <c r="K518" s="48" t="s">
        <v>61</v>
      </c>
    </row>
    <row r="519" s="47" customFormat="1" customHeight="1" outlineLevel="1" spans="1:11">
      <c r="A519" s="59"/>
      <c r="B519" s="60" t="str">
        <f t="shared" ref="B519:B583" si="19">DEC2HEX(1536+ROW()-ROW($B$518),4)</f>
        <v>0601</v>
      </c>
      <c r="C519" s="63"/>
      <c r="D519" s="59"/>
      <c r="E519" s="59"/>
      <c r="F519" s="59"/>
      <c r="G519" s="59"/>
      <c r="H519" s="59"/>
      <c r="I519" s="59"/>
      <c r="J519" s="72"/>
      <c r="K519" s="48"/>
    </row>
    <row r="520" s="47" customFormat="1" customHeight="1" outlineLevel="1" spans="1:11">
      <c r="A520" s="59"/>
      <c r="B520" s="60" t="str">
        <f t="shared" si="19"/>
        <v>0602</v>
      </c>
      <c r="C520" s="63"/>
      <c r="D520" s="59"/>
      <c r="E520" s="59"/>
      <c r="F520" s="59"/>
      <c r="G520" s="59"/>
      <c r="H520" s="59"/>
      <c r="I520" s="59"/>
      <c r="J520" s="72"/>
      <c r="K520" s="48"/>
    </row>
    <row r="521" s="47" customFormat="1" ht="32" customHeight="1" outlineLevel="1" spans="1:11">
      <c r="A521" s="59"/>
      <c r="B521" s="60" t="str">
        <f t="shared" si="19"/>
        <v>0603</v>
      </c>
      <c r="C521" s="63"/>
      <c r="D521" s="59"/>
      <c r="E521" s="59"/>
      <c r="F521" s="59"/>
      <c r="G521" s="59"/>
      <c r="H521" s="59"/>
      <c r="I521" s="59"/>
      <c r="J521" s="72"/>
      <c r="K521" s="48"/>
    </row>
    <row r="522" outlineLevel="1" spans="1:11">
      <c r="A522" s="24"/>
      <c r="B522" s="60" t="str">
        <f t="shared" si="19"/>
        <v>0604</v>
      </c>
      <c r="C522" s="67" t="s">
        <v>574</v>
      </c>
      <c r="D522" s="24" t="s">
        <v>89</v>
      </c>
      <c r="E522" s="24">
        <v>0.1</v>
      </c>
      <c r="F522" s="24" t="s">
        <v>44</v>
      </c>
      <c r="G522" s="24"/>
      <c r="H522" s="24"/>
      <c r="I522" s="24" t="s">
        <v>38</v>
      </c>
      <c r="J522" s="72" t="s">
        <v>575</v>
      </c>
      <c r="K522" s="48" t="s">
        <v>61</v>
      </c>
    </row>
    <row r="523" ht="42.75" outlineLevel="1" spans="1:11">
      <c r="A523" s="24"/>
      <c r="B523" s="60" t="str">
        <f t="shared" si="19"/>
        <v>0605</v>
      </c>
      <c r="C523" s="67" t="s">
        <v>576</v>
      </c>
      <c r="D523" s="24" t="s">
        <v>131</v>
      </c>
      <c r="E523" s="24">
        <v>0.01</v>
      </c>
      <c r="F523" s="24" t="s">
        <v>303</v>
      </c>
      <c r="G523" s="24"/>
      <c r="H523" s="24"/>
      <c r="I523" s="24" t="s">
        <v>38</v>
      </c>
      <c r="J523" s="72" t="s">
        <v>577</v>
      </c>
      <c r="K523" s="48" t="s">
        <v>61</v>
      </c>
    </row>
    <row r="524" ht="42.75" outlineLevel="1" spans="1:11">
      <c r="A524" s="24"/>
      <c r="B524" s="60" t="str">
        <f t="shared" si="19"/>
        <v>0606</v>
      </c>
      <c r="C524" s="67" t="s">
        <v>578</v>
      </c>
      <c r="D524" s="24" t="s">
        <v>131</v>
      </c>
      <c r="E524" s="24">
        <v>0.01</v>
      </c>
      <c r="F524" s="24" t="s">
        <v>284</v>
      </c>
      <c r="G524" s="24"/>
      <c r="H524" s="24"/>
      <c r="I524" s="24" t="s">
        <v>38</v>
      </c>
      <c r="J524" s="72" t="s">
        <v>579</v>
      </c>
      <c r="K524" s="48" t="s">
        <v>61</v>
      </c>
    </row>
    <row r="525" outlineLevel="1" spans="1:11">
      <c r="A525" s="24"/>
      <c r="B525" s="60" t="str">
        <f t="shared" si="19"/>
        <v>0607</v>
      </c>
      <c r="C525" s="67" t="s">
        <v>580</v>
      </c>
      <c r="D525" s="24" t="s">
        <v>131</v>
      </c>
      <c r="E525" s="24">
        <v>1</v>
      </c>
      <c r="F525" s="70" t="s">
        <v>581</v>
      </c>
      <c r="G525" s="24"/>
      <c r="H525" s="24"/>
      <c r="I525" s="24" t="s">
        <v>38</v>
      </c>
      <c r="J525" s="72" t="s">
        <v>582</v>
      </c>
      <c r="K525" s="48" t="s">
        <v>61</v>
      </c>
    </row>
    <row r="526" outlineLevel="1" spans="1:11">
      <c r="A526" s="24"/>
      <c r="B526" s="60" t="str">
        <f t="shared" si="19"/>
        <v>0608</v>
      </c>
      <c r="C526" s="67" t="s">
        <v>583</v>
      </c>
      <c r="D526" s="24" t="s">
        <v>89</v>
      </c>
      <c r="E526" s="24">
        <v>1</v>
      </c>
      <c r="F526" s="24" t="s">
        <v>584</v>
      </c>
      <c r="G526" s="24"/>
      <c r="H526" s="24"/>
      <c r="I526" s="24" t="s">
        <v>38</v>
      </c>
      <c r="J526" s="72" t="s">
        <v>585</v>
      </c>
      <c r="K526" s="48" t="s">
        <v>61</v>
      </c>
    </row>
    <row r="527" outlineLevel="1" spans="1:11">
      <c r="A527" s="24"/>
      <c r="B527" s="60" t="str">
        <f t="shared" si="19"/>
        <v>0609</v>
      </c>
      <c r="C527" s="67" t="s">
        <v>586</v>
      </c>
      <c r="D527" s="24" t="s">
        <v>89</v>
      </c>
      <c r="E527" s="24">
        <v>1</v>
      </c>
      <c r="F527" s="24" t="s">
        <v>584</v>
      </c>
      <c r="G527" s="24"/>
      <c r="H527" s="24"/>
      <c r="I527" s="24" t="s">
        <v>38</v>
      </c>
      <c r="J527" s="72" t="s">
        <v>587</v>
      </c>
      <c r="K527" s="48" t="s">
        <v>61</v>
      </c>
    </row>
    <row r="528" outlineLevel="1" spans="1:11">
      <c r="A528" s="24"/>
      <c r="B528" s="60" t="str">
        <f t="shared" si="19"/>
        <v>060A</v>
      </c>
      <c r="C528" s="67" t="s">
        <v>588</v>
      </c>
      <c r="D528" s="24" t="s">
        <v>89</v>
      </c>
      <c r="E528" s="24">
        <v>1</v>
      </c>
      <c r="F528" s="24" t="s">
        <v>589</v>
      </c>
      <c r="G528" s="24"/>
      <c r="H528" s="24"/>
      <c r="I528" s="24" t="s">
        <v>38</v>
      </c>
      <c r="J528" s="72" t="s">
        <v>590</v>
      </c>
      <c r="K528" s="48" t="s">
        <v>61</v>
      </c>
    </row>
    <row r="529" outlineLevel="1" spans="1:11">
      <c r="A529" s="24"/>
      <c r="B529" s="60" t="str">
        <f t="shared" si="19"/>
        <v>060B</v>
      </c>
      <c r="C529" s="67" t="s">
        <v>591</v>
      </c>
      <c r="D529" s="24" t="s">
        <v>89</v>
      </c>
      <c r="E529" s="24">
        <v>0.1</v>
      </c>
      <c r="F529" s="24" t="s">
        <v>44</v>
      </c>
      <c r="G529" s="24"/>
      <c r="H529" s="24"/>
      <c r="I529" s="24" t="s">
        <v>38</v>
      </c>
      <c r="J529" s="72" t="s">
        <v>592</v>
      </c>
      <c r="K529" s="48" t="s">
        <v>61</v>
      </c>
    </row>
    <row r="530" ht="42.75" outlineLevel="1" spans="1:11">
      <c r="A530" s="24"/>
      <c r="B530" s="60" t="str">
        <f t="shared" si="19"/>
        <v>060C</v>
      </c>
      <c r="C530" s="67" t="s">
        <v>593</v>
      </c>
      <c r="D530" s="24" t="s">
        <v>131</v>
      </c>
      <c r="E530" s="24">
        <v>0.01</v>
      </c>
      <c r="F530" s="24" t="s">
        <v>303</v>
      </c>
      <c r="G530" s="24"/>
      <c r="H530" s="24"/>
      <c r="I530" s="24" t="s">
        <v>38</v>
      </c>
      <c r="J530" s="72" t="s">
        <v>594</v>
      </c>
      <c r="K530" s="48" t="s">
        <v>61</v>
      </c>
    </row>
    <row r="531" ht="42.75" outlineLevel="1" spans="1:11">
      <c r="A531" s="24"/>
      <c r="B531" s="60" t="str">
        <f t="shared" si="19"/>
        <v>060D</v>
      </c>
      <c r="C531" s="67" t="s">
        <v>595</v>
      </c>
      <c r="D531" s="24" t="s">
        <v>131</v>
      </c>
      <c r="E531" s="24">
        <v>0.01</v>
      </c>
      <c r="F531" s="24" t="s">
        <v>284</v>
      </c>
      <c r="G531" s="24"/>
      <c r="H531" s="24"/>
      <c r="I531" s="24" t="s">
        <v>38</v>
      </c>
      <c r="J531" s="72" t="s">
        <v>596</v>
      </c>
      <c r="K531" s="48" t="s">
        <v>61</v>
      </c>
    </row>
    <row r="532" ht="28.5" outlineLevel="1" spans="1:11">
      <c r="A532" s="24"/>
      <c r="B532" s="60" t="str">
        <f t="shared" si="19"/>
        <v>060E</v>
      </c>
      <c r="C532" s="67" t="s">
        <v>597</v>
      </c>
      <c r="D532" s="24" t="s">
        <v>131</v>
      </c>
      <c r="E532" s="24">
        <v>1</v>
      </c>
      <c r="F532" s="70" t="s">
        <v>581</v>
      </c>
      <c r="G532" s="24"/>
      <c r="H532" s="24"/>
      <c r="I532" s="24" t="s">
        <v>38</v>
      </c>
      <c r="J532" s="72" t="s">
        <v>598</v>
      </c>
      <c r="K532" s="48" t="s">
        <v>61</v>
      </c>
    </row>
    <row r="533" outlineLevel="1" spans="1:11">
      <c r="A533" s="24"/>
      <c r="B533" s="60" t="str">
        <f t="shared" si="19"/>
        <v>060F</v>
      </c>
      <c r="C533" s="67" t="s">
        <v>599</v>
      </c>
      <c r="D533" s="24" t="s">
        <v>89</v>
      </c>
      <c r="E533" s="24">
        <v>1</v>
      </c>
      <c r="F533" s="24" t="s">
        <v>584</v>
      </c>
      <c r="G533" s="24"/>
      <c r="H533" s="24"/>
      <c r="I533" s="24" t="s">
        <v>38</v>
      </c>
      <c r="J533" s="72" t="s">
        <v>600</v>
      </c>
      <c r="K533" s="48" t="s">
        <v>61</v>
      </c>
    </row>
    <row r="534" outlineLevel="1" spans="1:11">
      <c r="A534" s="24"/>
      <c r="B534" s="60" t="str">
        <f t="shared" si="19"/>
        <v>0610</v>
      </c>
      <c r="C534" s="67" t="s">
        <v>601</v>
      </c>
      <c r="D534" s="24" t="s">
        <v>89</v>
      </c>
      <c r="E534" s="24">
        <v>1</v>
      </c>
      <c r="F534" s="24" t="s">
        <v>584</v>
      </c>
      <c r="G534" s="24"/>
      <c r="H534" s="24"/>
      <c r="I534" s="24" t="s">
        <v>38</v>
      </c>
      <c r="J534" s="72" t="s">
        <v>602</v>
      </c>
      <c r="K534" s="48" t="s">
        <v>61</v>
      </c>
    </row>
    <row r="535" outlineLevel="1" spans="1:11">
      <c r="A535" s="24"/>
      <c r="B535" s="60" t="str">
        <f t="shared" si="19"/>
        <v>0611</v>
      </c>
      <c r="C535" s="67" t="s">
        <v>603</v>
      </c>
      <c r="D535" s="24" t="s">
        <v>89</v>
      </c>
      <c r="E535" s="24">
        <v>1</v>
      </c>
      <c r="F535" s="24" t="s">
        <v>589</v>
      </c>
      <c r="G535" s="24"/>
      <c r="H535" s="24"/>
      <c r="I535" s="24" t="s">
        <v>38</v>
      </c>
      <c r="J535" s="72" t="s">
        <v>604</v>
      </c>
      <c r="K535" s="48" t="s">
        <v>61</v>
      </c>
    </row>
    <row r="536" outlineLevel="1" spans="1:11">
      <c r="A536" s="24"/>
      <c r="B536" s="60" t="str">
        <f t="shared" si="19"/>
        <v>0612</v>
      </c>
      <c r="C536" s="67" t="s">
        <v>605</v>
      </c>
      <c r="D536" s="24" t="s">
        <v>89</v>
      </c>
      <c r="E536" s="24">
        <v>0.1</v>
      </c>
      <c r="F536" s="24" t="s">
        <v>44</v>
      </c>
      <c r="G536" s="24"/>
      <c r="H536" s="24"/>
      <c r="I536" s="24" t="s">
        <v>38</v>
      </c>
      <c r="J536" s="72" t="s">
        <v>606</v>
      </c>
      <c r="K536" s="48" t="s">
        <v>61</v>
      </c>
    </row>
    <row r="537" ht="42.75" outlineLevel="1" spans="1:11">
      <c r="A537" s="24"/>
      <c r="B537" s="60" t="str">
        <f t="shared" si="19"/>
        <v>0613</v>
      </c>
      <c r="C537" s="67" t="s">
        <v>607</v>
      </c>
      <c r="D537" s="24" t="s">
        <v>131</v>
      </c>
      <c r="E537" s="24">
        <v>0.01</v>
      </c>
      <c r="F537" s="24" t="s">
        <v>303</v>
      </c>
      <c r="G537" s="24"/>
      <c r="H537" s="24"/>
      <c r="I537" s="24" t="s">
        <v>38</v>
      </c>
      <c r="J537" s="72" t="s">
        <v>608</v>
      </c>
      <c r="K537" s="48" t="s">
        <v>61</v>
      </c>
    </row>
    <row r="538" ht="42.75" outlineLevel="1" spans="1:11">
      <c r="A538" s="24"/>
      <c r="B538" s="60" t="str">
        <f t="shared" si="19"/>
        <v>0614</v>
      </c>
      <c r="C538" s="67" t="s">
        <v>609</v>
      </c>
      <c r="D538" s="24" t="s">
        <v>131</v>
      </c>
      <c r="E538" s="24">
        <v>0.01</v>
      </c>
      <c r="F538" s="24" t="s">
        <v>284</v>
      </c>
      <c r="G538" s="24"/>
      <c r="H538" s="24"/>
      <c r="I538" s="24" t="s">
        <v>38</v>
      </c>
      <c r="J538" s="72" t="s">
        <v>610</v>
      </c>
      <c r="K538" s="48" t="s">
        <v>61</v>
      </c>
    </row>
    <row r="539" outlineLevel="1" spans="1:11">
      <c r="A539" s="24"/>
      <c r="B539" s="60" t="str">
        <f t="shared" si="19"/>
        <v>0615</v>
      </c>
      <c r="C539" s="67" t="s">
        <v>611</v>
      </c>
      <c r="D539" s="24" t="s">
        <v>131</v>
      </c>
      <c r="E539" s="24">
        <v>1</v>
      </c>
      <c r="F539" s="70" t="s">
        <v>581</v>
      </c>
      <c r="G539" s="24"/>
      <c r="H539" s="24"/>
      <c r="I539" s="24" t="s">
        <v>38</v>
      </c>
      <c r="J539" s="72" t="s">
        <v>612</v>
      </c>
      <c r="K539" s="48" t="s">
        <v>61</v>
      </c>
    </row>
    <row r="540" outlineLevel="1" spans="1:11">
      <c r="A540" s="24"/>
      <c r="B540" s="60" t="str">
        <f t="shared" si="19"/>
        <v>0616</v>
      </c>
      <c r="C540" s="67" t="s">
        <v>613</v>
      </c>
      <c r="D540" s="24" t="s">
        <v>89</v>
      </c>
      <c r="E540" s="24">
        <v>1</v>
      </c>
      <c r="F540" s="24" t="s">
        <v>584</v>
      </c>
      <c r="G540" s="24"/>
      <c r="H540" s="24"/>
      <c r="I540" s="24" t="s">
        <v>38</v>
      </c>
      <c r="J540" s="72" t="s">
        <v>614</v>
      </c>
      <c r="K540" s="48" t="s">
        <v>61</v>
      </c>
    </row>
    <row r="541" outlineLevel="1" spans="1:11">
      <c r="A541" s="24"/>
      <c r="B541" s="60" t="str">
        <f t="shared" si="19"/>
        <v>0617</v>
      </c>
      <c r="C541" s="67" t="s">
        <v>615</v>
      </c>
      <c r="D541" s="24" t="s">
        <v>89</v>
      </c>
      <c r="E541" s="24">
        <v>1</v>
      </c>
      <c r="F541" s="24" t="s">
        <v>584</v>
      </c>
      <c r="G541" s="24"/>
      <c r="H541" s="24"/>
      <c r="I541" s="24" t="s">
        <v>38</v>
      </c>
      <c r="J541" s="72" t="s">
        <v>616</v>
      </c>
      <c r="K541" s="48" t="s">
        <v>61</v>
      </c>
    </row>
    <row r="542" outlineLevel="1" spans="1:11">
      <c r="A542" s="24"/>
      <c r="B542" s="60" t="str">
        <f t="shared" si="19"/>
        <v>0618</v>
      </c>
      <c r="C542" s="67" t="s">
        <v>617</v>
      </c>
      <c r="D542" s="24" t="s">
        <v>89</v>
      </c>
      <c r="E542" s="24">
        <v>1</v>
      </c>
      <c r="F542" s="24" t="s">
        <v>589</v>
      </c>
      <c r="G542" s="24"/>
      <c r="H542" s="24"/>
      <c r="I542" s="24" t="s">
        <v>38</v>
      </c>
      <c r="J542" s="72" t="s">
        <v>618</v>
      </c>
      <c r="K542" s="48" t="s">
        <v>61</v>
      </c>
    </row>
    <row r="543" outlineLevel="1" spans="1:11">
      <c r="A543" s="24"/>
      <c r="B543" s="60" t="str">
        <f t="shared" si="19"/>
        <v>0619</v>
      </c>
      <c r="C543" s="67" t="s">
        <v>619</v>
      </c>
      <c r="D543" s="24" t="s">
        <v>89</v>
      </c>
      <c r="E543" s="24">
        <v>0.1</v>
      </c>
      <c r="F543" s="24" t="s">
        <v>44</v>
      </c>
      <c r="G543" s="24"/>
      <c r="H543" s="24"/>
      <c r="I543" s="24" t="s">
        <v>38</v>
      </c>
      <c r="J543" s="72" t="s">
        <v>620</v>
      </c>
      <c r="K543" s="48" t="s">
        <v>61</v>
      </c>
    </row>
    <row r="544" ht="42.75" outlineLevel="1" spans="1:11">
      <c r="A544" s="24"/>
      <c r="B544" s="60" t="str">
        <f t="shared" si="19"/>
        <v>061A</v>
      </c>
      <c r="C544" s="67" t="s">
        <v>621</v>
      </c>
      <c r="D544" s="24" t="s">
        <v>131</v>
      </c>
      <c r="E544" s="24">
        <v>0.01</v>
      </c>
      <c r="F544" s="24" t="s">
        <v>303</v>
      </c>
      <c r="G544" s="24"/>
      <c r="H544" s="24"/>
      <c r="I544" s="24" t="s">
        <v>38</v>
      </c>
      <c r="J544" s="72" t="s">
        <v>622</v>
      </c>
      <c r="K544" s="48" t="s">
        <v>61</v>
      </c>
    </row>
    <row r="545" ht="42.75" outlineLevel="1" spans="1:11">
      <c r="A545" s="24"/>
      <c r="B545" s="60" t="str">
        <f t="shared" si="19"/>
        <v>061B</v>
      </c>
      <c r="C545" s="67" t="s">
        <v>623</v>
      </c>
      <c r="D545" s="24" t="s">
        <v>131</v>
      </c>
      <c r="E545" s="24">
        <v>0.01</v>
      </c>
      <c r="F545" s="24" t="s">
        <v>284</v>
      </c>
      <c r="G545" s="24"/>
      <c r="H545" s="24"/>
      <c r="I545" s="24" t="s">
        <v>38</v>
      </c>
      <c r="J545" s="72" t="s">
        <v>624</v>
      </c>
      <c r="K545" s="48" t="s">
        <v>61</v>
      </c>
    </row>
    <row r="546" outlineLevel="1" spans="1:11">
      <c r="A546" s="24"/>
      <c r="B546" s="60" t="str">
        <f t="shared" si="19"/>
        <v>061C</v>
      </c>
      <c r="C546" s="67" t="s">
        <v>625</v>
      </c>
      <c r="D546" s="24" t="s">
        <v>131</v>
      </c>
      <c r="E546" s="24">
        <v>1</v>
      </c>
      <c r="F546" s="70" t="s">
        <v>581</v>
      </c>
      <c r="G546" s="24"/>
      <c r="H546" s="24"/>
      <c r="I546" s="24" t="s">
        <v>38</v>
      </c>
      <c r="J546" s="72" t="s">
        <v>626</v>
      </c>
      <c r="K546" s="48" t="s">
        <v>61</v>
      </c>
    </row>
    <row r="547" outlineLevel="1" spans="1:11">
      <c r="A547" s="24"/>
      <c r="B547" s="60" t="str">
        <f t="shared" si="19"/>
        <v>061D</v>
      </c>
      <c r="C547" s="67" t="s">
        <v>627</v>
      </c>
      <c r="D547" s="24" t="s">
        <v>89</v>
      </c>
      <c r="E547" s="24">
        <v>1</v>
      </c>
      <c r="F547" s="24" t="s">
        <v>584</v>
      </c>
      <c r="G547" s="24"/>
      <c r="H547" s="24"/>
      <c r="I547" s="24" t="s">
        <v>38</v>
      </c>
      <c r="J547" s="72" t="s">
        <v>628</v>
      </c>
      <c r="K547" s="48" t="s">
        <v>61</v>
      </c>
    </row>
    <row r="548" outlineLevel="1" spans="1:11">
      <c r="A548" s="24"/>
      <c r="B548" s="60" t="str">
        <f t="shared" si="19"/>
        <v>061E</v>
      </c>
      <c r="C548" s="67" t="s">
        <v>629</v>
      </c>
      <c r="D548" s="24" t="s">
        <v>89</v>
      </c>
      <c r="E548" s="24">
        <v>1</v>
      </c>
      <c r="F548" s="24" t="s">
        <v>584</v>
      </c>
      <c r="G548" s="24"/>
      <c r="H548" s="24"/>
      <c r="I548" s="24" t="s">
        <v>38</v>
      </c>
      <c r="J548" s="72" t="s">
        <v>630</v>
      </c>
      <c r="K548" s="48" t="s">
        <v>61</v>
      </c>
    </row>
    <row r="549" outlineLevel="1" spans="1:11">
      <c r="A549" s="24"/>
      <c r="B549" s="60" t="str">
        <f t="shared" si="19"/>
        <v>061F</v>
      </c>
      <c r="C549" s="67" t="s">
        <v>631</v>
      </c>
      <c r="D549" s="24" t="s">
        <v>89</v>
      </c>
      <c r="E549" s="24">
        <v>1</v>
      </c>
      <c r="F549" s="24" t="s">
        <v>589</v>
      </c>
      <c r="G549" s="24"/>
      <c r="H549" s="24"/>
      <c r="I549" s="24" t="s">
        <v>38</v>
      </c>
      <c r="J549" s="72" t="s">
        <v>632</v>
      </c>
      <c r="K549" s="48" t="s">
        <v>61</v>
      </c>
    </row>
    <row r="550" outlineLevel="1" spans="1:11">
      <c r="A550" s="24"/>
      <c r="B550" s="60" t="str">
        <f t="shared" si="19"/>
        <v>0620</v>
      </c>
      <c r="C550" s="67" t="s">
        <v>633</v>
      </c>
      <c r="D550" s="24" t="s">
        <v>89</v>
      </c>
      <c r="E550" s="24">
        <v>0.1</v>
      </c>
      <c r="F550" s="24" t="s">
        <v>44</v>
      </c>
      <c r="G550" s="24"/>
      <c r="H550" s="24"/>
      <c r="I550" s="24" t="s">
        <v>38</v>
      </c>
      <c r="J550" s="72" t="s">
        <v>634</v>
      </c>
      <c r="K550" s="48" t="s">
        <v>61</v>
      </c>
    </row>
    <row r="551" ht="42.75" outlineLevel="1" spans="1:11">
      <c r="A551" s="24"/>
      <c r="B551" s="60" t="str">
        <f t="shared" si="19"/>
        <v>0621</v>
      </c>
      <c r="C551" s="67" t="s">
        <v>635</v>
      </c>
      <c r="D551" s="24" t="s">
        <v>131</v>
      </c>
      <c r="E551" s="24">
        <v>0.01</v>
      </c>
      <c r="F551" s="24" t="s">
        <v>303</v>
      </c>
      <c r="G551" s="24"/>
      <c r="H551" s="24"/>
      <c r="I551" s="24" t="s">
        <v>38</v>
      </c>
      <c r="J551" s="72" t="s">
        <v>636</v>
      </c>
      <c r="K551" s="48" t="s">
        <v>61</v>
      </c>
    </row>
    <row r="552" ht="42.75" outlineLevel="1" spans="1:11">
      <c r="A552" s="24"/>
      <c r="B552" s="60" t="str">
        <f t="shared" si="19"/>
        <v>0622</v>
      </c>
      <c r="C552" s="67" t="s">
        <v>637</v>
      </c>
      <c r="D552" s="24" t="s">
        <v>131</v>
      </c>
      <c r="E552" s="24">
        <v>0.01</v>
      </c>
      <c r="F552" s="24" t="s">
        <v>284</v>
      </c>
      <c r="G552" s="24"/>
      <c r="H552" s="24"/>
      <c r="I552" s="24" t="s">
        <v>38</v>
      </c>
      <c r="J552" s="72" t="s">
        <v>638</v>
      </c>
      <c r="K552" s="48" t="s">
        <v>61</v>
      </c>
    </row>
    <row r="553" outlineLevel="1" spans="1:11">
      <c r="A553" s="24"/>
      <c r="B553" s="60" t="str">
        <f t="shared" si="19"/>
        <v>0623</v>
      </c>
      <c r="C553" s="67" t="s">
        <v>639</v>
      </c>
      <c r="D553" s="24" t="s">
        <v>131</v>
      </c>
      <c r="E553" s="24">
        <v>1</v>
      </c>
      <c r="F553" s="70" t="s">
        <v>581</v>
      </c>
      <c r="G553" s="24"/>
      <c r="H553" s="24"/>
      <c r="I553" s="24" t="s">
        <v>38</v>
      </c>
      <c r="J553" s="72" t="s">
        <v>640</v>
      </c>
      <c r="K553" s="48" t="s">
        <v>61</v>
      </c>
    </row>
    <row r="554" outlineLevel="1" spans="1:11">
      <c r="A554" s="24"/>
      <c r="B554" s="60" t="str">
        <f t="shared" si="19"/>
        <v>0624</v>
      </c>
      <c r="C554" s="67" t="s">
        <v>641</v>
      </c>
      <c r="D554" s="24" t="s">
        <v>89</v>
      </c>
      <c r="E554" s="24">
        <v>1</v>
      </c>
      <c r="F554" s="24" t="s">
        <v>584</v>
      </c>
      <c r="G554" s="24"/>
      <c r="H554" s="24"/>
      <c r="I554" s="24" t="s">
        <v>38</v>
      </c>
      <c r="J554" s="72" t="s">
        <v>642</v>
      </c>
      <c r="K554" s="48" t="s">
        <v>61</v>
      </c>
    </row>
    <row r="555" outlineLevel="1" spans="1:11">
      <c r="A555" s="24"/>
      <c r="B555" s="60" t="str">
        <f t="shared" si="19"/>
        <v>0625</v>
      </c>
      <c r="C555" s="67" t="s">
        <v>643</v>
      </c>
      <c r="D555" s="24" t="s">
        <v>89</v>
      </c>
      <c r="E555" s="24">
        <v>1</v>
      </c>
      <c r="F555" s="24" t="s">
        <v>584</v>
      </c>
      <c r="G555" s="24"/>
      <c r="H555" s="24"/>
      <c r="I555" s="24" t="s">
        <v>38</v>
      </c>
      <c r="J555" s="72" t="s">
        <v>644</v>
      </c>
      <c r="K555" s="48" t="s">
        <v>61</v>
      </c>
    </row>
    <row r="556" outlineLevel="1" spans="1:11">
      <c r="A556" s="24"/>
      <c r="B556" s="60" t="str">
        <f t="shared" si="19"/>
        <v>0626</v>
      </c>
      <c r="C556" s="67" t="s">
        <v>645</v>
      </c>
      <c r="D556" s="24" t="s">
        <v>89</v>
      </c>
      <c r="E556" s="24">
        <v>1</v>
      </c>
      <c r="F556" s="24" t="s">
        <v>589</v>
      </c>
      <c r="G556" s="24"/>
      <c r="H556" s="24"/>
      <c r="I556" s="24" t="s">
        <v>38</v>
      </c>
      <c r="J556" s="72" t="s">
        <v>646</v>
      </c>
      <c r="K556" s="48" t="s">
        <v>61</v>
      </c>
    </row>
    <row r="557" outlineLevel="1" spans="1:11">
      <c r="A557" s="24"/>
      <c r="B557" s="60" t="str">
        <f t="shared" si="19"/>
        <v>0627</v>
      </c>
      <c r="C557" s="67" t="s">
        <v>647</v>
      </c>
      <c r="D557" s="24" t="s">
        <v>89</v>
      </c>
      <c r="E557" s="24">
        <v>0.1</v>
      </c>
      <c r="F557" s="24" t="s">
        <v>44</v>
      </c>
      <c r="G557" s="24"/>
      <c r="H557" s="24"/>
      <c r="I557" s="24" t="s">
        <v>38</v>
      </c>
      <c r="J557" s="72" t="s">
        <v>648</v>
      </c>
      <c r="K557" s="48" t="s">
        <v>61</v>
      </c>
    </row>
    <row r="558" ht="42.75" outlineLevel="1" spans="1:11">
      <c r="A558" s="24"/>
      <c r="B558" s="60" t="str">
        <f t="shared" si="19"/>
        <v>0628</v>
      </c>
      <c r="C558" s="67" t="s">
        <v>649</v>
      </c>
      <c r="D558" s="24" t="s">
        <v>131</v>
      </c>
      <c r="E558" s="24">
        <v>0.01</v>
      </c>
      <c r="F558" s="24" t="s">
        <v>303</v>
      </c>
      <c r="G558" s="24"/>
      <c r="H558" s="24"/>
      <c r="I558" s="24" t="s">
        <v>38</v>
      </c>
      <c r="J558" s="72" t="s">
        <v>650</v>
      </c>
      <c r="K558" s="48" t="s">
        <v>61</v>
      </c>
    </row>
    <row r="559" ht="42.75" outlineLevel="1" spans="1:11">
      <c r="A559" s="24"/>
      <c r="B559" s="60" t="str">
        <f t="shared" si="19"/>
        <v>0629</v>
      </c>
      <c r="C559" s="67" t="s">
        <v>651</v>
      </c>
      <c r="D559" s="24" t="s">
        <v>131</v>
      </c>
      <c r="E559" s="24">
        <v>0.01</v>
      </c>
      <c r="F559" s="24" t="s">
        <v>284</v>
      </c>
      <c r="G559" s="24"/>
      <c r="H559" s="24"/>
      <c r="I559" s="24" t="s">
        <v>38</v>
      </c>
      <c r="J559" s="72" t="s">
        <v>652</v>
      </c>
      <c r="K559" s="48" t="s">
        <v>61</v>
      </c>
    </row>
    <row r="560" outlineLevel="1" spans="1:11">
      <c r="A560" s="24"/>
      <c r="B560" s="60" t="str">
        <f t="shared" si="19"/>
        <v>062A</v>
      </c>
      <c r="C560" s="67" t="s">
        <v>653</v>
      </c>
      <c r="D560" s="24" t="s">
        <v>131</v>
      </c>
      <c r="E560" s="24">
        <v>1</v>
      </c>
      <c r="F560" s="70" t="s">
        <v>581</v>
      </c>
      <c r="G560" s="24"/>
      <c r="H560" s="24"/>
      <c r="I560" s="24" t="s">
        <v>38</v>
      </c>
      <c r="J560" s="72" t="s">
        <v>654</v>
      </c>
      <c r="K560" s="48" t="s">
        <v>61</v>
      </c>
    </row>
    <row r="561" outlineLevel="1" spans="1:11">
      <c r="A561" s="24"/>
      <c r="B561" s="60" t="str">
        <f t="shared" si="19"/>
        <v>062B</v>
      </c>
      <c r="C561" s="67" t="s">
        <v>655</v>
      </c>
      <c r="D561" s="24" t="s">
        <v>89</v>
      </c>
      <c r="E561" s="24">
        <v>1</v>
      </c>
      <c r="F561" s="24" t="s">
        <v>584</v>
      </c>
      <c r="G561" s="24"/>
      <c r="H561" s="24"/>
      <c r="I561" s="24" t="s">
        <v>38</v>
      </c>
      <c r="J561" s="72" t="s">
        <v>656</v>
      </c>
      <c r="K561" s="48" t="s">
        <v>61</v>
      </c>
    </row>
    <row r="562" outlineLevel="1" spans="1:11">
      <c r="A562" s="24"/>
      <c r="B562" s="60" t="str">
        <f t="shared" si="19"/>
        <v>062C</v>
      </c>
      <c r="C562" s="67" t="s">
        <v>657</v>
      </c>
      <c r="D562" s="24" t="s">
        <v>89</v>
      </c>
      <c r="E562" s="24">
        <v>1</v>
      </c>
      <c r="F562" s="24" t="s">
        <v>584</v>
      </c>
      <c r="G562" s="24"/>
      <c r="H562" s="24"/>
      <c r="I562" s="24" t="s">
        <v>38</v>
      </c>
      <c r="J562" s="72" t="s">
        <v>658</v>
      </c>
      <c r="K562" s="48" t="s">
        <v>61</v>
      </c>
    </row>
    <row r="563" outlineLevel="1" spans="1:11">
      <c r="A563" s="24"/>
      <c r="B563" s="60" t="str">
        <f t="shared" si="19"/>
        <v>062D</v>
      </c>
      <c r="C563" s="67" t="s">
        <v>659</v>
      </c>
      <c r="D563" s="24" t="s">
        <v>89</v>
      </c>
      <c r="E563" s="24">
        <v>1</v>
      </c>
      <c r="F563" s="24" t="s">
        <v>589</v>
      </c>
      <c r="G563" s="24"/>
      <c r="H563" s="24"/>
      <c r="I563" s="24" t="s">
        <v>38</v>
      </c>
      <c r="J563" s="72" t="s">
        <v>660</v>
      </c>
      <c r="K563" s="48" t="s">
        <v>61</v>
      </c>
    </row>
    <row r="564" outlineLevel="1" spans="1:11">
      <c r="A564" s="24"/>
      <c r="B564" s="60" t="str">
        <f t="shared" si="19"/>
        <v>062E</v>
      </c>
      <c r="C564" s="67" t="s">
        <v>661</v>
      </c>
      <c r="D564" s="24" t="s">
        <v>89</v>
      </c>
      <c r="E564" s="24">
        <v>0.1</v>
      </c>
      <c r="F564" s="24" t="s">
        <v>44</v>
      </c>
      <c r="G564" s="24"/>
      <c r="H564" s="24"/>
      <c r="I564" s="24" t="s">
        <v>38</v>
      </c>
      <c r="J564" s="72" t="s">
        <v>662</v>
      </c>
      <c r="K564" s="48" t="s">
        <v>61</v>
      </c>
    </row>
    <row r="565" ht="42.75" outlineLevel="1" spans="1:11">
      <c r="A565" s="24"/>
      <c r="B565" s="60" t="str">
        <f t="shared" si="19"/>
        <v>062F</v>
      </c>
      <c r="C565" s="67" t="s">
        <v>663</v>
      </c>
      <c r="D565" s="24" t="s">
        <v>131</v>
      </c>
      <c r="E565" s="24">
        <v>0.01</v>
      </c>
      <c r="F565" s="24" t="s">
        <v>303</v>
      </c>
      <c r="G565" s="24"/>
      <c r="H565" s="24"/>
      <c r="I565" s="24" t="s">
        <v>38</v>
      </c>
      <c r="J565" s="72" t="s">
        <v>664</v>
      </c>
      <c r="K565" s="48" t="s">
        <v>61</v>
      </c>
    </row>
    <row r="566" ht="42.75" outlineLevel="1" spans="1:11">
      <c r="A566" s="24"/>
      <c r="B566" s="60" t="str">
        <f t="shared" si="19"/>
        <v>0630</v>
      </c>
      <c r="C566" s="67" t="s">
        <v>665</v>
      </c>
      <c r="D566" s="24" t="s">
        <v>131</v>
      </c>
      <c r="E566" s="24">
        <v>0.01</v>
      </c>
      <c r="F566" s="24" t="s">
        <v>284</v>
      </c>
      <c r="G566" s="24"/>
      <c r="H566" s="24"/>
      <c r="I566" s="24" t="s">
        <v>38</v>
      </c>
      <c r="J566" s="72" t="s">
        <v>666</v>
      </c>
      <c r="K566" s="48" t="s">
        <v>61</v>
      </c>
    </row>
    <row r="567" outlineLevel="1" spans="1:11">
      <c r="A567" s="24"/>
      <c r="B567" s="60" t="str">
        <f t="shared" si="19"/>
        <v>0631</v>
      </c>
      <c r="C567" s="67" t="s">
        <v>667</v>
      </c>
      <c r="D567" s="24" t="s">
        <v>131</v>
      </c>
      <c r="E567" s="24">
        <v>1</v>
      </c>
      <c r="F567" s="70" t="s">
        <v>581</v>
      </c>
      <c r="G567" s="24"/>
      <c r="H567" s="24"/>
      <c r="I567" s="24" t="s">
        <v>38</v>
      </c>
      <c r="J567" s="72" t="s">
        <v>668</v>
      </c>
      <c r="K567" s="48" t="s">
        <v>61</v>
      </c>
    </row>
    <row r="568" outlineLevel="1" spans="1:11">
      <c r="A568" s="24"/>
      <c r="B568" s="60" t="str">
        <f t="shared" si="19"/>
        <v>0632</v>
      </c>
      <c r="C568" s="67" t="s">
        <v>669</v>
      </c>
      <c r="D568" s="24" t="s">
        <v>89</v>
      </c>
      <c r="E568" s="24">
        <v>1</v>
      </c>
      <c r="F568" s="24" t="s">
        <v>584</v>
      </c>
      <c r="G568" s="24"/>
      <c r="H568" s="24"/>
      <c r="I568" s="24" t="s">
        <v>38</v>
      </c>
      <c r="J568" s="72" t="s">
        <v>670</v>
      </c>
      <c r="K568" s="48" t="s">
        <v>61</v>
      </c>
    </row>
    <row r="569" outlineLevel="1" spans="1:11">
      <c r="A569" s="24"/>
      <c r="B569" s="60" t="str">
        <f t="shared" si="19"/>
        <v>0633</v>
      </c>
      <c r="C569" s="67" t="s">
        <v>671</v>
      </c>
      <c r="D569" s="24" t="s">
        <v>89</v>
      </c>
      <c r="E569" s="24">
        <v>1</v>
      </c>
      <c r="F569" s="24" t="s">
        <v>584</v>
      </c>
      <c r="G569" s="24"/>
      <c r="H569" s="24"/>
      <c r="I569" s="24" t="s">
        <v>38</v>
      </c>
      <c r="J569" s="72" t="s">
        <v>672</v>
      </c>
      <c r="K569" s="48" t="s">
        <v>61</v>
      </c>
    </row>
    <row r="570" outlineLevel="1" spans="1:11">
      <c r="A570" s="24"/>
      <c r="B570" s="60" t="str">
        <f t="shared" si="19"/>
        <v>0634</v>
      </c>
      <c r="C570" s="67" t="s">
        <v>673</v>
      </c>
      <c r="D570" s="24" t="s">
        <v>89</v>
      </c>
      <c r="E570" s="24">
        <v>1</v>
      </c>
      <c r="F570" s="24" t="s">
        <v>589</v>
      </c>
      <c r="G570" s="24"/>
      <c r="H570" s="24"/>
      <c r="I570" s="24" t="s">
        <v>38</v>
      </c>
      <c r="J570" s="72" t="s">
        <v>674</v>
      </c>
      <c r="K570" s="48" t="s">
        <v>61</v>
      </c>
    </row>
    <row r="571" outlineLevel="1" spans="1:11">
      <c r="A571" s="24"/>
      <c r="B571" s="60" t="str">
        <f t="shared" si="19"/>
        <v>0635</v>
      </c>
      <c r="C571" s="67" t="s">
        <v>675</v>
      </c>
      <c r="D571" s="24" t="s">
        <v>89</v>
      </c>
      <c r="E571" s="24">
        <v>0.1</v>
      </c>
      <c r="F571" s="24" t="s">
        <v>44</v>
      </c>
      <c r="G571" s="24"/>
      <c r="H571" s="24"/>
      <c r="I571" s="24" t="s">
        <v>38</v>
      </c>
      <c r="J571" s="72" t="s">
        <v>676</v>
      </c>
      <c r="K571" s="48" t="s">
        <v>61</v>
      </c>
    </row>
    <row r="572" ht="42.75" outlineLevel="1" spans="1:11">
      <c r="A572" s="24"/>
      <c r="B572" s="60" t="str">
        <f t="shared" si="19"/>
        <v>0636</v>
      </c>
      <c r="C572" s="67" t="s">
        <v>677</v>
      </c>
      <c r="D572" s="24" t="s">
        <v>131</v>
      </c>
      <c r="E572" s="24">
        <v>0.01</v>
      </c>
      <c r="F572" s="24" t="s">
        <v>303</v>
      </c>
      <c r="G572" s="24"/>
      <c r="H572" s="24"/>
      <c r="I572" s="24" t="s">
        <v>38</v>
      </c>
      <c r="J572" s="72" t="s">
        <v>678</v>
      </c>
      <c r="K572" s="48" t="s">
        <v>61</v>
      </c>
    </row>
    <row r="573" ht="42.75" outlineLevel="1" spans="1:11">
      <c r="A573" s="24"/>
      <c r="B573" s="60" t="str">
        <f t="shared" si="19"/>
        <v>0637</v>
      </c>
      <c r="C573" s="67" t="s">
        <v>679</v>
      </c>
      <c r="D573" s="24" t="s">
        <v>131</v>
      </c>
      <c r="E573" s="24">
        <v>0.01</v>
      </c>
      <c r="F573" s="24" t="s">
        <v>284</v>
      </c>
      <c r="G573" s="24"/>
      <c r="H573" s="24"/>
      <c r="I573" s="24" t="s">
        <v>38</v>
      </c>
      <c r="J573" s="72" t="s">
        <v>680</v>
      </c>
      <c r="K573" s="48" t="s">
        <v>61</v>
      </c>
    </row>
    <row r="574" outlineLevel="1" spans="1:11">
      <c r="A574" s="24"/>
      <c r="B574" s="60" t="str">
        <f t="shared" si="19"/>
        <v>0638</v>
      </c>
      <c r="C574" s="67" t="s">
        <v>681</v>
      </c>
      <c r="D574" s="24" t="s">
        <v>131</v>
      </c>
      <c r="E574" s="24">
        <v>1</v>
      </c>
      <c r="F574" s="70" t="s">
        <v>581</v>
      </c>
      <c r="G574" s="24"/>
      <c r="H574" s="24"/>
      <c r="I574" s="24" t="s">
        <v>38</v>
      </c>
      <c r="J574" s="72" t="s">
        <v>682</v>
      </c>
      <c r="K574" s="48" t="s">
        <v>61</v>
      </c>
    </row>
    <row r="575" outlineLevel="1" spans="1:11">
      <c r="A575" s="24"/>
      <c r="B575" s="60" t="str">
        <f t="shared" si="19"/>
        <v>0639</v>
      </c>
      <c r="C575" s="67" t="s">
        <v>683</v>
      </c>
      <c r="D575" s="24" t="s">
        <v>89</v>
      </c>
      <c r="E575" s="24">
        <v>1</v>
      </c>
      <c r="F575" s="24" t="s">
        <v>584</v>
      </c>
      <c r="G575" s="24"/>
      <c r="H575" s="24"/>
      <c r="I575" s="24" t="s">
        <v>38</v>
      </c>
      <c r="J575" s="72" t="s">
        <v>684</v>
      </c>
      <c r="K575" s="48" t="s">
        <v>61</v>
      </c>
    </row>
    <row r="576" outlineLevel="1" spans="1:11">
      <c r="A576" s="24"/>
      <c r="B576" s="60" t="str">
        <f t="shared" si="19"/>
        <v>063A</v>
      </c>
      <c r="C576" s="67" t="s">
        <v>685</v>
      </c>
      <c r="D576" s="24" t="s">
        <v>89</v>
      </c>
      <c r="E576" s="24">
        <v>1</v>
      </c>
      <c r="F576" s="24" t="s">
        <v>584</v>
      </c>
      <c r="G576" s="24"/>
      <c r="H576" s="24"/>
      <c r="I576" s="24" t="s">
        <v>38</v>
      </c>
      <c r="J576" s="72" t="s">
        <v>686</v>
      </c>
      <c r="K576" s="48" t="s">
        <v>61</v>
      </c>
    </row>
    <row r="577" outlineLevel="1" spans="1:11">
      <c r="A577" s="24"/>
      <c r="B577" s="60" t="str">
        <f t="shared" si="19"/>
        <v>063B</v>
      </c>
      <c r="C577" s="67" t="s">
        <v>687</v>
      </c>
      <c r="D577" s="24" t="s">
        <v>89</v>
      </c>
      <c r="E577" s="24">
        <v>1</v>
      </c>
      <c r="F577" s="24" t="s">
        <v>589</v>
      </c>
      <c r="G577" s="24"/>
      <c r="H577" s="24"/>
      <c r="I577" s="24" t="s">
        <v>38</v>
      </c>
      <c r="J577" s="72" t="s">
        <v>688</v>
      </c>
      <c r="K577" s="48" t="s">
        <v>61</v>
      </c>
    </row>
    <row r="578" outlineLevel="1" spans="1:11">
      <c r="A578" s="24"/>
      <c r="B578" s="60" t="str">
        <f t="shared" si="19"/>
        <v>063C</v>
      </c>
      <c r="C578" s="67"/>
      <c r="D578" s="24"/>
      <c r="E578" s="24"/>
      <c r="F578" s="24"/>
      <c r="G578" s="24"/>
      <c r="H578" s="24"/>
      <c r="I578" s="24"/>
      <c r="J578" s="67"/>
      <c r="K578"/>
    </row>
    <row r="579" outlineLevel="1" spans="1:11">
      <c r="A579" s="24"/>
      <c r="B579" s="60" t="str">
        <f t="shared" si="19"/>
        <v>063D</v>
      </c>
      <c r="C579" s="67"/>
      <c r="D579" s="24"/>
      <c r="E579" s="24"/>
      <c r="F579" s="24"/>
      <c r="G579" s="24"/>
      <c r="H579" s="24"/>
      <c r="I579" s="24"/>
      <c r="J579" s="67"/>
      <c r="K579"/>
    </row>
    <row r="580" outlineLevel="1" spans="1:11">
      <c r="A580" s="24"/>
      <c r="B580" s="60" t="str">
        <f t="shared" si="19"/>
        <v>063E</v>
      </c>
      <c r="C580" s="67"/>
      <c r="D580" s="24"/>
      <c r="E580" s="24"/>
      <c r="F580" s="24"/>
      <c r="G580" s="24"/>
      <c r="H580" s="24"/>
      <c r="I580" s="24"/>
      <c r="J580" s="67"/>
      <c r="K580"/>
    </row>
    <row r="581" outlineLevel="1" spans="1:11">
      <c r="A581" s="24"/>
      <c r="B581" s="60" t="str">
        <f t="shared" si="19"/>
        <v>063F</v>
      </c>
      <c r="C581" s="67"/>
      <c r="D581" s="24"/>
      <c r="E581" s="24"/>
      <c r="F581" s="24"/>
      <c r="G581" s="24"/>
      <c r="H581" s="24"/>
      <c r="I581" s="24"/>
      <c r="J581" s="67"/>
      <c r="K581"/>
    </row>
    <row r="582" outlineLevel="1" spans="1:11">
      <c r="A582" s="24"/>
      <c r="B582" s="60" t="str">
        <f t="shared" si="19"/>
        <v>0640</v>
      </c>
      <c r="C582" s="63" t="s">
        <v>689</v>
      </c>
      <c r="D582" s="59" t="s">
        <v>59</v>
      </c>
      <c r="E582" s="59"/>
      <c r="F582" s="59"/>
      <c r="G582" s="59"/>
      <c r="H582" s="59"/>
      <c r="I582" s="59" t="s">
        <v>38</v>
      </c>
      <c r="J582" s="72" t="s">
        <v>279</v>
      </c>
      <c r="K582" s="48" t="s">
        <v>61</v>
      </c>
    </row>
    <row r="583" outlineLevel="1" spans="1:11">
      <c r="A583" s="24"/>
      <c r="B583" s="60" t="str">
        <f t="shared" si="19"/>
        <v>0641</v>
      </c>
      <c r="C583" s="63"/>
      <c r="D583" s="59"/>
      <c r="E583" s="59"/>
      <c r="F583" s="59"/>
      <c r="G583" s="59"/>
      <c r="H583" s="59"/>
      <c r="I583" s="59"/>
      <c r="J583" s="72"/>
      <c r="K583" s="48"/>
    </row>
    <row r="584" outlineLevel="1" spans="1:11">
      <c r="A584" s="24"/>
      <c r="B584" s="60" t="str">
        <f t="shared" ref="B584:B613" si="20">DEC2HEX(1536+ROW()-ROW($B$518),4)</f>
        <v>0642</v>
      </c>
      <c r="C584" s="63"/>
      <c r="D584" s="59"/>
      <c r="E584" s="59"/>
      <c r="F584" s="59"/>
      <c r="G584" s="59"/>
      <c r="H584" s="59"/>
      <c r="I584" s="59"/>
      <c r="J584" s="72"/>
      <c r="K584" s="48"/>
    </row>
    <row r="585" ht="21" customHeight="1" outlineLevel="1" spans="1:11">
      <c r="A585" s="24"/>
      <c r="B585" s="60" t="str">
        <f t="shared" si="20"/>
        <v>0643</v>
      </c>
      <c r="C585" s="63"/>
      <c r="D585" s="59"/>
      <c r="E585" s="59"/>
      <c r="F585" s="59"/>
      <c r="G585" s="59"/>
      <c r="H585" s="59"/>
      <c r="I585" s="59"/>
      <c r="J585" s="72"/>
      <c r="K585" s="48"/>
    </row>
    <row r="586" outlineLevel="1" spans="1:11">
      <c r="A586" s="24"/>
      <c r="B586" s="60" t="str">
        <f t="shared" si="20"/>
        <v>0644</v>
      </c>
      <c r="C586" s="67" t="s">
        <v>690</v>
      </c>
      <c r="D586" s="24" t="s">
        <v>89</v>
      </c>
      <c r="E586" s="24">
        <v>0.1</v>
      </c>
      <c r="F586" s="24" t="s">
        <v>44</v>
      </c>
      <c r="G586" s="24"/>
      <c r="H586" s="24"/>
      <c r="I586" s="24" t="s">
        <v>38</v>
      </c>
      <c r="J586" s="72" t="s">
        <v>691</v>
      </c>
      <c r="K586" s="48" t="s">
        <v>61</v>
      </c>
    </row>
    <row r="587" ht="42.75" outlineLevel="1" spans="1:11">
      <c r="A587" s="24"/>
      <c r="B587" s="60" t="str">
        <f t="shared" si="20"/>
        <v>0645</v>
      </c>
      <c r="C587" s="67" t="s">
        <v>692</v>
      </c>
      <c r="D587" s="24" t="s">
        <v>131</v>
      </c>
      <c r="E587" s="24">
        <v>0.01</v>
      </c>
      <c r="F587" s="24" t="s">
        <v>303</v>
      </c>
      <c r="G587" s="24"/>
      <c r="H587" s="24"/>
      <c r="I587" s="24" t="s">
        <v>38</v>
      </c>
      <c r="J587" s="72" t="s">
        <v>693</v>
      </c>
      <c r="K587" s="48" t="s">
        <v>61</v>
      </c>
    </row>
    <row r="588" ht="42.75" outlineLevel="1" spans="1:11">
      <c r="A588" s="24"/>
      <c r="B588" s="60" t="str">
        <f t="shared" si="20"/>
        <v>0646</v>
      </c>
      <c r="C588" s="67" t="s">
        <v>694</v>
      </c>
      <c r="D588" s="24" t="s">
        <v>131</v>
      </c>
      <c r="E588" s="24">
        <v>0.01</v>
      </c>
      <c r="F588" s="24" t="s">
        <v>284</v>
      </c>
      <c r="G588" s="24"/>
      <c r="H588" s="24"/>
      <c r="I588" s="24" t="s">
        <v>38</v>
      </c>
      <c r="J588" s="72" t="s">
        <v>695</v>
      </c>
      <c r="K588" s="48" t="s">
        <v>61</v>
      </c>
    </row>
    <row r="589" outlineLevel="1" spans="1:11">
      <c r="A589" s="24"/>
      <c r="B589" s="60" t="str">
        <f t="shared" si="20"/>
        <v>0647</v>
      </c>
      <c r="C589" s="67" t="s">
        <v>696</v>
      </c>
      <c r="D589" s="24" t="s">
        <v>131</v>
      </c>
      <c r="E589" s="24">
        <v>1</v>
      </c>
      <c r="F589" s="70" t="s">
        <v>581</v>
      </c>
      <c r="G589" s="24"/>
      <c r="H589" s="24"/>
      <c r="I589" s="24" t="s">
        <v>38</v>
      </c>
      <c r="J589" s="72" t="s">
        <v>697</v>
      </c>
      <c r="K589" s="48" t="s">
        <v>61</v>
      </c>
    </row>
    <row r="590" outlineLevel="1" spans="1:11">
      <c r="A590" s="24"/>
      <c r="B590" s="60" t="str">
        <f t="shared" si="20"/>
        <v>0648</v>
      </c>
      <c r="C590" s="67" t="s">
        <v>698</v>
      </c>
      <c r="D590" s="24" t="s">
        <v>89</v>
      </c>
      <c r="E590" s="24">
        <v>1</v>
      </c>
      <c r="F590" s="24" t="s">
        <v>584</v>
      </c>
      <c r="G590" s="24"/>
      <c r="H590" s="24"/>
      <c r="I590" s="24" t="s">
        <v>38</v>
      </c>
      <c r="J590" s="72" t="s">
        <v>699</v>
      </c>
      <c r="K590" s="48" t="s">
        <v>61</v>
      </c>
    </row>
    <row r="591" outlineLevel="1" spans="1:11">
      <c r="A591" s="24"/>
      <c r="B591" s="60" t="str">
        <f t="shared" si="20"/>
        <v>0649</v>
      </c>
      <c r="C591" s="67" t="s">
        <v>700</v>
      </c>
      <c r="D591" s="24" t="s">
        <v>89</v>
      </c>
      <c r="E591" s="24">
        <v>1</v>
      </c>
      <c r="F591" s="24" t="s">
        <v>584</v>
      </c>
      <c r="G591" s="24"/>
      <c r="H591" s="24"/>
      <c r="I591" s="24" t="s">
        <v>38</v>
      </c>
      <c r="J591" s="72" t="s">
        <v>701</v>
      </c>
      <c r="K591" s="48" t="s">
        <v>61</v>
      </c>
    </row>
    <row r="592" outlineLevel="1" spans="1:11">
      <c r="A592" s="24"/>
      <c r="B592" s="60" t="str">
        <f t="shared" si="20"/>
        <v>064A</v>
      </c>
      <c r="C592" s="67" t="s">
        <v>702</v>
      </c>
      <c r="D592" s="24" t="s">
        <v>89</v>
      </c>
      <c r="E592" s="24">
        <v>1</v>
      </c>
      <c r="F592" s="24" t="s">
        <v>589</v>
      </c>
      <c r="G592" s="24"/>
      <c r="H592" s="24"/>
      <c r="I592" s="24" t="s">
        <v>38</v>
      </c>
      <c r="J592" s="72" t="s">
        <v>703</v>
      </c>
      <c r="K592" s="48" t="s">
        <v>61</v>
      </c>
    </row>
    <row r="593" outlineLevel="1" spans="1:11">
      <c r="A593" s="24"/>
      <c r="B593" s="60" t="str">
        <f t="shared" si="20"/>
        <v>064B</v>
      </c>
      <c r="C593" s="67" t="s">
        <v>704</v>
      </c>
      <c r="D593" s="24" t="s">
        <v>89</v>
      </c>
      <c r="E593" s="24">
        <v>0.1</v>
      </c>
      <c r="F593" s="24" t="s">
        <v>44</v>
      </c>
      <c r="G593" s="24"/>
      <c r="H593" s="24"/>
      <c r="I593" s="24" t="s">
        <v>38</v>
      </c>
      <c r="J593" s="72" t="s">
        <v>705</v>
      </c>
      <c r="K593" s="48" t="s">
        <v>61</v>
      </c>
    </row>
    <row r="594" ht="42.75" outlineLevel="1" spans="1:11">
      <c r="A594" s="24"/>
      <c r="B594" s="60" t="str">
        <f t="shared" si="20"/>
        <v>064C</v>
      </c>
      <c r="C594" s="67" t="s">
        <v>706</v>
      </c>
      <c r="D594" s="24" t="s">
        <v>131</v>
      </c>
      <c r="E594" s="24">
        <v>0.01</v>
      </c>
      <c r="F594" s="24" t="s">
        <v>303</v>
      </c>
      <c r="G594" s="24"/>
      <c r="H594" s="24"/>
      <c r="I594" s="24" t="s">
        <v>38</v>
      </c>
      <c r="J594" s="72" t="s">
        <v>707</v>
      </c>
      <c r="K594" s="48" t="s">
        <v>61</v>
      </c>
    </row>
    <row r="595" ht="42.75" outlineLevel="1" spans="1:11">
      <c r="A595" s="24"/>
      <c r="B595" s="60" t="str">
        <f t="shared" si="20"/>
        <v>064D</v>
      </c>
      <c r="C595" s="67" t="s">
        <v>708</v>
      </c>
      <c r="D595" s="24" t="s">
        <v>131</v>
      </c>
      <c r="E595" s="24">
        <v>0.01</v>
      </c>
      <c r="F595" s="24" t="s">
        <v>284</v>
      </c>
      <c r="G595" s="24"/>
      <c r="H595" s="24"/>
      <c r="I595" s="24" t="s">
        <v>38</v>
      </c>
      <c r="J595" s="72" t="s">
        <v>709</v>
      </c>
      <c r="K595" s="48" t="s">
        <v>61</v>
      </c>
    </row>
    <row r="596" outlineLevel="1" spans="1:11">
      <c r="A596" s="24"/>
      <c r="B596" s="60" t="str">
        <f t="shared" si="20"/>
        <v>064E</v>
      </c>
      <c r="C596" s="67" t="s">
        <v>710</v>
      </c>
      <c r="D596" s="24" t="s">
        <v>131</v>
      </c>
      <c r="E596" s="24">
        <v>1</v>
      </c>
      <c r="F596" s="70" t="s">
        <v>581</v>
      </c>
      <c r="G596" s="24"/>
      <c r="H596" s="24"/>
      <c r="I596" s="24" t="s">
        <v>38</v>
      </c>
      <c r="J596" s="72" t="s">
        <v>711</v>
      </c>
      <c r="K596" s="48" t="s">
        <v>61</v>
      </c>
    </row>
    <row r="597" outlineLevel="1" spans="1:11">
      <c r="A597" s="24"/>
      <c r="B597" s="60" t="str">
        <f t="shared" si="20"/>
        <v>064F</v>
      </c>
      <c r="C597" s="67" t="s">
        <v>712</v>
      </c>
      <c r="D597" s="24" t="s">
        <v>89</v>
      </c>
      <c r="E597" s="24">
        <v>1</v>
      </c>
      <c r="F597" s="24" t="s">
        <v>584</v>
      </c>
      <c r="G597" s="24"/>
      <c r="H597" s="24"/>
      <c r="I597" s="24" t="s">
        <v>38</v>
      </c>
      <c r="J597" s="72" t="s">
        <v>713</v>
      </c>
      <c r="K597" s="48" t="s">
        <v>61</v>
      </c>
    </row>
    <row r="598" outlineLevel="1" spans="1:11">
      <c r="A598" s="24"/>
      <c r="B598" s="60" t="str">
        <f t="shared" si="20"/>
        <v>0650</v>
      </c>
      <c r="C598" s="67" t="s">
        <v>714</v>
      </c>
      <c r="D598" s="24" t="s">
        <v>89</v>
      </c>
      <c r="E598" s="24">
        <v>1</v>
      </c>
      <c r="F598" s="24" t="s">
        <v>584</v>
      </c>
      <c r="G598" s="24"/>
      <c r="H598" s="24"/>
      <c r="I598" s="24" t="s">
        <v>38</v>
      </c>
      <c r="J598" s="72" t="s">
        <v>715</v>
      </c>
      <c r="K598" s="48" t="s">
        <v>61</v>
      </c>
    </row>
    <row r="599" outlineLevel="1" spans="1:11">
      <c r="A599" s="24"/>
      <c r="B599" s="60" t="str">
        <f t="shared" si="20"/>
        <v>0651</v>
      </c>
      <c r="C599" s="67" t="s">
        <v>716</v>
      </c>
      <c r="D599" s="24" t="s">
        <v>89</v>
      </c>
      <c r="E599" s="24">
        <v>1</v>
      </c>
      <c r="F599" s="24" t="s">
        <v>589</v>
      </c>
      <c r="G599" s="24"/>
      <c r="H599" s="24"/>
      <c r="I599" s="24" t="s">
        <v>38</v>
      </c>
      <c r="J599" s="72" t="s">
        <v>717</v>
      </c>
      <c r="K599" s="48" t="s">
        <v>61</v>
      </c>
    </row>
    <row r="600" outlineLevel="1" spans="1:11">
      <c r="A600" s="24"/>
      <c r="B600" s="60" t="str">
        <f t="shared" si="20"/>
        <v>0652</v>
      </c>
      <c r="C600" s="67" t="s">
        <v>718</v>
      </c>
      <c r="D600" s="24" t="s">
        <v>89</v>
      </c>
      <c r="E600" s="24">
        <v>0.1</v>
      </c>
      <c r="F600" s="24" t="s">
        <v>44</v>
      </c>
      <c r="G600" s="24"/>
      <c r="H600" s="24"/>
      <c r="I600" s="24" t="s">
        <v>38</v>
      </c>
      <c r="J600" s="72" t="s">
        <v>719</v>
      </c>
      <c r="K600" s="48" t="s">
        <v>61</v>
      </c>
    </row>
    <row r="601" ht="42.75" outlineLevel="1" spans="1:11">
      <c r="A601" s="24"/>
      <c r="B601" s="60" t="str">
        <f t="shared" si="20"/>
        <v>0653</v>
      </c>
      <c r="C601" s="67" t="s">
        <v>720</v>
      </c>
      <c r="D601" s="24" t="s">
        <v>131</v>
      </c>
      <c r="E601" s="24">
        <v>0.01</v>
      </c>
      <c r="F601" s="24" t="s">
        <v>303</v>
      </c>
      <c r="G601" s="24"/>
      <c r="H601" s="24"/>
      <c r="I601" s="24" t="s">
        <v>38</v>
      </c>
      <c r="J601" s="72" t="s">
        <v>721</v>
      </c>
      <c r="K601" s="48" t="s">
        <v>61</v>
      </c>
    </row>
    <row r="602" ht="42.75" outlineLevel="1" spans="1:11">
      <c r="A602" s="24"/>
      <c r="B602" s="60" t="str">
        <f t="shared" si="20"/>
        <v>0654</v>
      </c>
      <c r="C602" s="67" t="s">
        <v>722</v>
      </c>
      <c r="D602" s="24" t="s">
        <v>131</v>
      </c>
      <c r="E602" s="24">
        <v>0.01</v>
      </c>
      <c r="F602" s="24" t="s">
        <v>284</v>
      </c>
      <c r="G602" s="24"/>
      <c r="H602" s="24"/>
      <c r="I602" s="24" t="s">
        <v>38</v>
      </c>
      <c r="J602" s="72" t="s">
        <v>723</v>
      </c>
      <c r="K602" s="48" t="s">
        <v>61</v>
      </c>
    </row>
    <row r="603" outlineLevel="1" spans="1:11">
      <c r="A603" s="24"/>
      <c r="B603" s="60" t="str">
        <f t="shared" si="20"/>
        <v>0655</v>
      </c>
      <c r="C603" s="67" t="s">
        <v>724</v>
      </c>
      <c r="D603" s="24" t="s">
        <v>131</v>
      </c>
      <c r="E603" s="24">
        <v>1</v>
      </c>
      <c r="F603" s="70" t="s">
        <v>581</v>
      </c>
      <c r="G603" s="24"/>
      <c r="H603" s="24"/>
      <c r="I603" s="24" t="s">
        <v>38</v>
      </c>
      <c r="J603" s="72" t="s">
        <v>725</v>
      </c>
      <c r="K603" s="48" t="s">
        <v>61</v>
      </c>
    </row>
    <row r="604" outlineLevel="1" spans="1:11">
      <c r="A604" s="24"/>
      <c r="B604" s="60" t="str">
        <f t="shared" si="20"/>
        <v>0656</v>
      </c>
      <c r="C604" s="67" t="s">
        <v>726</v>
      </c>
      <c r="D604" s="24" t="s">
        <v>89</v>
      </c>
      <c r="E604" s="24">
        <v>1</v>
      </c>
      <c r="F604" s="24" t="s">
        <v>584</v>
      </c>
      <c r="G604" s="24"/>
      <c r="H604" s="24"/>
      <c r="I604" s="24" t="s">
        <v>38</v>
      </c>
      <c r="J604" s="72" t="s">
        <v>727</v>
      </c>
      <c r="K604" s="48" t="s">
        <v>61</v>
      </c>
    </row>
    <row r="605" outlineLevel="1" spans="1:11">
      <c r="A605" s="24"/>
      <c r="B605" s="60" t="str">
        <f t="shared" si="20"/>
        <v>0657</v>
      </c>
      <c r="C605" s="67" t="s">
        <v>728</v>
      </c>
      <c r="D605" s="24" t="s">
        <v>89</v>
      </c>
      <c r="E605" s="24">
        <v>1</v>
      </c>
      <c r="F605" s="24" t="s">
        <v>584</v>
      </c>
      <c r="G605" s="24"/>
      <c r="H605" s="24"/>
      <c r="I605" s="24" t="s">
        <v>38</v>
      </c>
      <c r="J605" s="72" t="s">
        <v>729</v>
      </c>
      <c r="K605" s="48" t="s">
        <v>61</v>
      </c>
    </row>
    <row r="606" outlineLevel="1" spans="1:11">
      <c r="A606" s="24"/>
      <c r="B606" s="60" t="str">
        <f t="shared" si="20"/>
        <v>0658</v>
      </c>
      <c r="C606" s="67" t="s">
        <v>730</v>
      </c>
      <c r="D606" s="24" t="s">
        <v>89</v>
      </c>
      <c r="E606" s="24">
        <v>1</v>
      </c>
      <c r="F606" s="24" t="s">
        <v>589</v>
      </c>
      <c r="G606" s="24"/>
      <c r="H606" s="24"/>
      <c r="I606" s="24" t="s">
        <v>38</v>
      </c>
      <c r="J606" s="72" t="s">
        <v>731</v>
      </c>
      <c r="K606" s="48" t="s">
        <v>61</v>
      </c>
    </row>
    <row r="607" outlineLevel="1" spans="1:11">
      <c r="A607" s="24"/>
      <c r="B607" s="60" t="str">
        <f t="shared" si="20"/>
        <v>0659</v>
      </c>
      <c r="C607" s="67" t="s">
        <v>732</v>
      </c>
      <c r="D607" s="24" t="s">
        <v>89</v>
      </c>
      <c r="E607" s="24">
        <v>0.1</v>
      </c>
      <c r="F607" s="24" t="s">
        <v>44</v>
      </c>
      <c r="G607" s="24"/>
      <c r="H607" s="24"/>
      <c r="I607" s="24" t="s">
        <v>38</v>
      </c>
      <c r="J607" s="72" t="s">
        <v>733</v>
      </c>
      <c r="K607" s="48" t="s">
        <v>61</v>
      </c>
    </row>
    <row r="608" ht="42.75" outlineLevel="1" spans="1:11">
      <c r="A608" s="24"/>
      <c r="B608" s="60" t="str">
        <f t="shared" si="20"/>
        <v>065A</v>
      </c>
      <c r="C608" s="67" t="s">
        <v>734</v>
      </c>
      <c r="D608" s="24" t="s">
        <v>131</v>
      </c>
      <c r="E608" s="24">
        <v>0.01</v>
      </c>
      <c r="F608" s="24" t="s">
        <v>303</v>
      </c>
      <c r="G608" s="24"/>
      <c r="H608" s="24"/>
      <c r="I608" s="24" t="s">
        <v>38</v>
      </c>
      <c r="J608" s="72" t="s">
        <v>735</v>
      </c>
      <c r="K608" s="48" t="s">
        <v>61</v>
      </c>
    </row>
    <row r="609" ht="42.75" outlineLevel="1" spans="1:11">
      <c r="A609" s="24"/>
      <c r="B609" s="60" t="str">
        <f t="shared" si="20"/>
        <v>065B</v>
      </c>
      <c r="C609" s="67" t="s">
        <v>736</v>
      </c>
      <c r="D609" s="24" t="s">
        <v>131</v>
      </c>
      <c r="E609" s="24">
        <v>0.01</v>
      </c>
      <c r="F609" s="24" t="s">
        <v>284</v>
      </c>
      <c r="G609" s="24"/>
      <c r="H609" s="24"/>
      <c r="I609" s="24" t="s">
        <v>38</v>
      </c>
      <c r="J609" s="72" t="s">
        <v>737</v>
      </c>
      <c r="K609" s="48" t="s">
        <v>61</v>
      </c>
    </row>
    <row r="610" outlineLevel="1" spans="1:11">
      <c r="A610" s="24"/>
      <c r="B610" s="60" t="str">
        <f t="shared" si="20"/>
        <v>065C</v>
      </c>
      <c r="C610" s="67" t="s">
        <v>738</v>
      </c>
      <c r="D610" s="24" t="s">
        <v>131</v>
      </c>
      <c r="E610" s="24">
        <v>1</v>
      </c>
      <c r="F610" s="70" t="s">
        <v>581</v>
      </c>
      <c r="G610" s="24"/>
      <c r="H610" s="24"/>
      <c r="I610" s="24" t="s">
        <v>38</v>
      </c>
      <c r="J610" s="72" t="s">
        <v>739</v>
      </c>
      <c r="K610" s="48" t="s">
        <v>61</v>
      </c>
    </row>
    <row r="611" outlineLevel="1" spans="1:11">
      <c r="A611" s="24"/>
      <c r="B611" s="60" t="str">
        <f t="shared" si="20"/>
        <v>065D</v>
      </c>
      <c r="C611" s="67" t="s">
        <v>740</v>
      </c>
      <c r="D611" s="24" t="s">
        <v>89</v>
      </c>
      <c r="E611" s="24">
        <v>1</v>
      </c>
      <c r="F611" s="24" t="s">
        <v>584</v>
      </c>
      <c r="G611" s="24"/>
      <c r="H611" s="24"/>
      <c r="I611" s="24" t="s">
        <v>38</v>
      </c>
      <c r="J611" s="72" t="s">
        <v>741</v>
      </c>
      <c r="K611" s="48" t="s">
        <v>61</v>
      </c>
    </row>
    <row r="612" outlineLevel="1" spans="1:11">
      <c r="A612" s="24"/>
      <c r="B612" s="60" t="str">
        <f t="shared" si="20"/>
        <v>065E</v>
      </c>
      <c r="C612" s="67" t="s">
        <v>742</v>
      </c>
      <c r="D612" s="24" t="s">
        <v>89</v>
      </c>
      <c r="E612" s="24">
        <v>1</v>
      </c>
      <c r="F612" s="24" t="s">
        <v>584</v>
      </c>
      <c r="G612" s="24"/>
      <c r="H612" s="24"/>
      <c r="I612" s="24" t="s">
        <v>38</v>
      </c>
      <c r="J612" s="72" t="s">
        <v>743</v>
      </c>
      <c r="K612" s="48" t="s">
        <v>61</v>
      </c>
    </row>
    <row r="613" outlineLevel="1" spans="1:11">
      <c r="A613" s="24"/>
      <c r="B613" s="60" t="str">
        <f t="shared" si="20"/>
        <v>065F</v>
      </c>
      <c r="C613" s="67" t="s">
        <v>744</v>
      </c>
      <c r="D613" s="24" t="s">
        <v>89</v>
      </c>
      <c r="E613" s="24">
        <v>1</v>
      </c>
      <c r="F613" s="24" t="s">
        <v>589</v>
      </c>
      <c r="G613" s="24"/>
      <c r="H613" s="24"/>
      <c r="I613" s="24" t="s">
        <v>38</v>
      </c>
      <c r="J613" s="72" t="s">
        <v>745</v>
      </c>
      <c r="K613" s="48" t="s">
        <v>61</v>
      </c>
    </row>
    <row r="614" outlineLevel="1" spans="1:11">
      <c r="A614" s="24"/>
      <c r="B614" s="60" t="str">
        <f t="shared" ref="B614:B623" si="21">DEC2HEX(1536+ROW()-ROW($B$518),4)</f>
        <v>0660</v>
      </c>
      <c r="C614" s="67"/>
      <c r="D614" s="24"/>
      <c r="E614" s="24"/>
      <c r="F614" s="24"/>
      <c r="G614" s="24"/>
      <c r="H614" s="24"/>
      <c r="I614" s="24"/>
      <c r="J614" s="67"/>
      <c r="K614" s="24"/>
    </row>
    <row r="615" outlineLevel="1" spans="1:11">
      <c r="A615" s="24"/>
      <c r="B615" s="60" t="str">
        <f t="shared" si="21"/>
        <v>0661</v>
      </c>
      <c r="C615" s="67"/>
      <c r="D615" s="24"/>
      <c r="E615" s="24"/>
      <c r="F615" s="24"/>
      <c r="G615" s="24"/>
      <c r="H615" s="24"/>
      <c r="I615" s="24"/>
      <c r="J615" s="67"/>
      <c r="K615" s="24"/>
    </row>
    <row r="616" outlineLevel="1" spans="1:11">
      <c r="A616" s="24"/>
      <c r="B616" s="60" t="str">
        <f t="shared" si="21"/>
        <v>0662</v>
      </c>
      <c r="C616" s="67"/>
      <c r="D616" s="24"/>
      <c r="E616" s="24"/>
      <c r="F616" s="24"/>
      <c r="G616" s="24"/>
      <c r="H616" s="24"/>
      <c r="I616" s="24"/>
      <c r="J616" s="67"/>
      <c r="K616" s="24"/>
    </row>
    <row r="617" outlineLevel="1" spans="1:11">
      <c r="A617" s="24"/>
      <c r="B617" s="60" t="str">
        <f t="shared" si="21"/>
        <v>0663</v>
      </c>
      <c r="C617" s="67"/>
      <c r="D617" s="24"/>
      <c r="E617" s="24"/>
      <c r="F617" s="24"/>
      <c r="G617" s="24"/>
      <c r="H617" s="24"/>
      <c r="I617" s="24"/>
      <c r="J617" s="67"/>
      <c r="K617" s="24"/>
    </row>
    <row r="618" outlineLevel="1" spans="1:11">
      <c r="A618" s="24"/>
      <c r="B618" s="60" t="str">
        <f t="shared" si="21"/>
        <v>0664</v>
      </c>
      <c r="C618" s="67"/>
      <c r="D618" s="24"/>
      <c r="E618" s="24"/>
      <c r="F618" s="24"/>
      <c r="G618" s="24"/>
      <c r="H618" s="24"/>
      <c r="I618" s="24"/>
      <c r="J618" s="67"/>
      <c r="K618" s="24"/>
    </row>
    <row r="619" outlineLevel="1" spans="1:11">
      <c r="A619" s="24"/>
      <c r="B619" s="60" t="str">
        <f t="shared" si="21"/>
        <v>0665</v>
      </c>
      <c r="C619" s="67"/>
      <c r="D619" s="24"/>
      <c r="E619" s="24"/>
      <c r="F619" s="24"/>
      <c r="G619" s="24"/>
      <c r="H619" s="24"/>
      <c r="I619" s="24"/>
      <c r="J619" s="67"/>
      <c r="K619" s="24"/>
    </row>
    <row r="620" outlineLevel="1" spans="1:11">
      <c r="A620" s="24"/>
      <c r="B620" s="60" t="str">
        <f t="shared" si="21"/>
        <v>0666</v>
      </c>
      <c r="C620" s="67"/>
      <c r="D620" s="24"/>
      <c r="E620" s="24"/>
      <c r="F620" s="24"/>
      <c r="G620" s="24"/>
      <c r="H620" s="24"/>
      <c r="I620" s="24"/>
      <c r="J620" s="67"/>
      <c r="K620" s="24"/>
    </row>
    <row r="621" ht="28.5" outlineLevel="1" spans="1:11">
      <c r="A621" s="24"/>
      <c r="B621" s="60" t="str">
        <f t="shared" si="21"/>
        <v>0667</v>
      </c>
      <c r="C621" s="69" t="s">
        <v>746</v>
      </c>
      <c r="D621" s="76" t="s">
        <v>131</v>
      </c>
      <c r="E621" s="76">
        <v>0.1</v>
      </c>
      <c r="F621" s="76" t="s">
        <v>284</v>
      </c>
      <c r="G621" s="76"/>
      <c r="H621" s="76"/>
      <c r="I621" s="76" t="s">
        <v>38</v>
      </c>
      <c r="J621" s="69" t="s">
        <v>747</v>
      </c>
      <c r="K621" s="48" t="s">
        <v>61</v>
      </c>
    </row>
    <row r="622" ht="28.5" outlineLevel="1" spans="1:11">
      <c r="A622" s="24"/>
      <c r="B622" s="60" t="str">
        <f t="shared" si="21"/>
        <v>0668</v>
      </c>
      <c r="C622" s="69" t="s">
        <v>748</v>
      </c>
      <c r="D622" s="76" t="s">
        <v>89</v>
      </c>
      <c r="E622" s="76">
        <v>1</v>
      </c>
      <c r="F622" s="76" t="s">
        <v>584</v>
      </c>
      <c r="G622" s="76"/>
      <c r="H622" s="76"/>
      <c r="I622" s="76" t="s">
        <v>38</v>
      </c>
      <c r="J622" s="69" t="s">
        <v>749</v>
      </c>
      <c r="K622" s="48" t="s">
        <v>61</v>
      </c>
    </row>
    <row r="623" outlineLevel="1" spans="1:11">
      <c r="A623" s="24"/>
      <c r="B623" s="60" t="str">
        <f t="shared" si="21"/>
        <v>0669</v>
      </c>
      <c r="C623" s="69" t="s">
        <v>750</v>
      </c>
      <c r="D623" s="76" t="s">
        <v>89</v>
      </c>
      <c r="E623" s="76">
        <v>1</v>
      </c>
      <c r="F623" s="76" t="s">
        <v>584</v>
      </c>
      <c r="G623" s="76"/>
      <c r="H623" s="76"/>
      <c r="I623" s="76" t="s">
        <v>38</v>
      </c>
      <c r="J623" s="69" t="s">
        <v>751</v>
      </c>
      <c r="K623" s="48" t="s">
        <v>61</v>
      </c>
    </row>
    <row r="624" outlineLevel="1" spans="1:11">
      <c r="A624" s="24"/>
      <c r="B624" s="60" t="str">
        <f t="shared" ref="B624:B631" si="22">DEC2HEX(1536+ROW()-ROW($B$518),4)</f>
        <v>066A</v>
      </c>
      <c r="C624" s="67"/>
      <c r="D624" s="24"/>
      <c r="E624" s="24"/>
      <c r="F624" s="24"/>
      <c r="G624" s="24"/>
      <c r="H624" s="24"/>
      <c r="I624" s="24"/>
      <c r="J624" s="67"/>
      <c r="K624" s="24"/>
    </row>
    <row r="625" outlineLevel="1" spans="1:11">
      <c r="A625" s="24"/>
      <c r="B625" s="60" t="str">
        <f t="shared" si="22"/>
        <v>066B</v>
      </c>
      <c r="C625" s="67"/>
      <c r="D625" s="24"/>
      <c r="E625" s="24"/>
      <c r="F625" s="24"/>
      <c r="G625" s="24"/>
      <c r="H625" s="24"/>
      <c r="I625" s="24"/>
      <c r="J625" s="67"/>
      <c r="K625" s="24"/>
    </row>
    <row r="626" outlineLevel="1" spans="1:11">
      <c r="A626" s="24"/>
      <c r="B626" s="60" t="str">
        <f t="shared" si="22"/>
        <v>066C</v>
      </c>
      <c r="C626" s="67"/>
      <c r="D626" s="24"/>
      <c r="E626" s="24"/>
      <c r="F626" s="24"/>
      <c r="G626" s="24"/>
      <c r="H626" s="24"/>
      <c r="I626" s="24"/>
      <c r="J626" s="67"/>
      <c r="K626" s="24"/>
    </row>
    <row r="627" outlineLevel="1" spans="1:11">
      <c r="A627" s="24"/>
      <c r="B627" s="60" t="str">
        <f t="shared" si="22"/>
        <v>066D</v>
      </c>
      <c r="C627" s="67"/>
      <c r="D627" s="24"/>
      <c r="E627" s="24"/>
      <c r="F627" s="24"/>
      <c r="G627" s="24"/>
      <c r="H627" s="24"/>
      <c r="I627" s="24"/>
      <c r="J627" s="67"/>
      <c r="K627" s="24"/>
    </row>
    <row r="628" outlineLevel="1" spans="1:11">
      <c r="A628" s="24"/>
      <c r="B628" s="60" t="str">
        <f t="shared" si="22"/>
        <v>066E</v>
      </c>
      <c r="C628" s="67"/>
      <c r="D628" s="24"/>
      <c r="E628" s="24"/>
      <c r="F628" s="24"/>
      <c r="G628" s="24"/>
      <c r="H628" s="24"/>
      <c r="I628" s="24"/>
      <c r="J628" s="67"/>
      <c r="K628" s="24"/>
    </row>
    <row r="629" outlineLevel="1" spans="1:11">
      <c r="A629" s="24"/>
      <c r="B629" s="60" t="str">
        <f t="shared" si="22"/>
        <v>066F</v>
      </c>
      <c r="C629" s="67"/>
      <c r="D629" s="24"/>
      <c r="E629" s="24"/>
      <c r="F629" s="24"/>
      <c r="G629" s="24"/>
      <c r="H629" s="24"/>
      <c r="I629" s="24"/>
      <c r="J629" s="67"/>
      <c r="K629" s="24"/>
    </row>
    <row r="630" outlineLevel="1" spans="1:11">
      <c r="A630" s="24"/>
      <c r="B630" s="60" t="str">
        <f t="shared" si="22"/>
        <v>0670</v>
      </c>
      <c r="C630" s="67"/>
      <c r="D630" s="24"/>
      <c r="E630" s="24"/>
      <c r="F630" s="24"/>
      <c r="G630" s="24"/>
      <c r="H630" s="24"/>
      <c r="I630" s="24"/>
      <c r="J630" s="67"/>
      <c r="K630" s="24"/>
    </row>
    <row r="631" outlineLevel="1" spans="1:11">
      <c r="A631" s="24"/>
      <c r="B631" s="60" t="str">
        <f t="shared" si="22"/>
        <v>0671</v>
      </c>
      <c r="C631" s="67"/>
      <c r="D631" s="24"/>
      <c r="E631" s="24"/>
      <c r="F631" s="24"/>
      <c r="G631" s="24"/>
      <c r="H631" s="24"/>
      <c r="I631" s="24"/>
      <c r="J631" s="67"/>
      <c r="K631" s="24"/>
    </row>
    <row r="632" outlineLevel="1" spans="1:11">
      <c r="A632" s="24"/>
      <c r="B632" s="60" t="str">
        <f t="shared" ref="B632:B645" si="23">DEC2HEX(1536+ROW()-ROW($B$518),4)</f>
        <v>0672</v>
      </c>
      <c r="C632" s="67"/>
      <c r="D632" s="24"/>
      <c r="E632" s="24"/>
      <c r="F632" s="24"/>
      <c r="G632" s="24"/>
      <c r="H632" s="24"/>
      <c r="I632" s="24"/>
      <c r="J632" s="67"/>
      <c r="K632" s="24"/>
    </row>
    <row r="633" outlineLevel="1" spans="1:11">
      <c r="A633" s="24"/>
      <c r="B633" s="60" t="str">
        <f t="shared" si="23"/>
        <v>0673</v>
      </c>
      <c r="C633" s="67"/>
      <c r="D633" s="24"/>
      <c r="E633" s="24"/>
      <c r="F633" s="24"/>
      <c r="G633" s="24"/>
      <c r="H633" s="24"/>
      <c r="I633" s="24"/>
      <c r="J633" s="67"/>
      <c r="K633" s="24"/>
    </row>
    <row r="634" outlineLevel="1" spans="1:11">
      <c r="A634" s="24"/>
      <c r="B634" s="60" t="str">
        <f t="shared" si="23"/>
        <v>0674</v>
      </c>
      <c r="C634" s="67"/>
      <c r="D634" s="24"/>
      <c r="E634" s="24"/>
      <c r="F634" s="24"/>
      <c r="G634" s="24"/>
      <c r="H634" s="24"/>
      <c r="I634" s="24"/>
      <c r="J634" s="67"/>
      <c r="K634" s="24"/>
    </row>
    <row r="635" outlineLevel="1" spans="1:11">
      <c r="A635" s="24"/>
      <c r="B635" s="60" t="str">
        <f t="shared" si="23"/>
        <v>0675</v>
      </c>
      <c r="C635" s="67"/>
      <c r="D635" s="24"/>
      <c r="E635" s="24"/>
      <c r="F635" s="24"/>
      <c r="G635" s="24"/>
      <c r="H635" s="24"/>
      <c r="I635" s="24"/>
      <c r="J635" s="67"/>
      <c r="K635" s="24"/>
    </row>
    <row r="636" outlineLevel="1" spans="1:11">
      <c r="A636" s="24"/>
      <c r="B636" s="60" t="str">
        <f t="shared" si="23"/>
        <v>0676</v>
      </c>
      <c r="C636" s="67"/>
      <c r="D636" s="24"/>
      <c r="E636" s="24"/>
      <c r="F636" s="24"/>
      <c r="G636" s="24"/>
      <c r="H636" s="24"/>
      <c r="I636" s="24"/>
      <c r="J636" s="67"/>
      <c r="K636" s="24"/>
    </row>
    <row r="637" outlineLevel="1" spans="1:11">
      <c r="A637" s="24"/>
      <c r="B637" s="60" t="str">
        <f t="shared" si="23"/>
        <v>0677</v>
      </c>
      <c r="C637" s="67"/>
      <c r="D637" s="24"/>
      <c r="E637" s="24"/>
      <c r="F637" s="24"/>
      <c r="G637" s="24"/>
      <c r="H637" s="24"/>
      <c r="I637" s="24"/>
      <c r="J637" s="67"/>
      <c r="K637" s="24"/>
    </row>
    <row r="638" outlineLevel="1" spans="1:11">
      <c r="A638" s="24"/>
      <c r="B638" s="60" t="str">
        <f t="shared" si="23"/>
        <v>0678</v>
      </c>
      <c r="C638" s="67"/>
      <c r="D638" s="24"/>
      <c r="E638" s="24"/>
      <c r="F638" s="24"/>
      <c r="G638" s="24"/>
      <c r="H638" s="24"/>
      <c r="I638" s="24"/>
      <c r="J638" s="67"/>
      <c r="K638" s="24"/>
    </row>
    <row r="639" outlineLevel="1" spans="1:11">
      <c r="A639" s="24"/>
      <c r="B639" s="60" t="str">
        <f t="shared" si="23"/>
        <v>0679</v>
      </c>
      <c r="C639" s="67"/>
      <c r="D639" s="24"/>
      <c r="E639" s="24"/>
      <c r="F639" s="24"/>
      <c r="G639" s="24"/>
      <c r="H639" s="24"/>
      <c r="I639" s="24"/>
      <c r="J639" s="67"/>
      <c r="K639" s="24"/>
    </row>
    <row r="640" outlineLevel="1" spans="1:11">
      <c r="A640" s="24"/>
      <c r="B640" s="60" t="str">
        <f t="shared" si="23"/>
        <v>067A</v>
      </c>
      <c r="C640" s="67"/>
      <c r="D640" s="24"/>
      <c r="E640" s="24"/>
      <c r="F640" s="24"/>
      <c r="G640" s="24"/>
      <c r="H640" s="24"/>
      <c r="I640" s="24"/>
      <c r="J640" s="67"/>
      <c r="K640" s="24"/>
    </row>
    <row r="641" outlineLevel="1" spans="1:11">
      <c r="A641" s="24"/>
      <c r="B641" s="60" t="str">
        <f t="shared" si="23"/>
        <v>067B</v>
      </c>
      <c r="C641" s="67"/>
      <c r="D641" s="24"/>
      <c r="E641" s="24"/>
      <c r="F641" s="24"/>
      <c r="G641" s="24"/>
      <c r="H641" s="24"/>
      <c r="I641" s="24"/>
      <c r="J641" s="67"/>
      <c r="K641" s="24"/>
    </row>
    <row r="642" outlineLevel="1" spans="1:11">
      <c r="A642" s="24"/>
      <c r="B642" s="60" t="str">
        <f t="shared" si="23"/>
        <v>067C</v>
      </c>
      <c r="C642" s="67"/>
      <c r="D642" s="24"/>
      <c r="E642" s="24"/>
      <c r="F642" s="24"/>
      <c r="G642" s="24"/>
      <c r="H642" s="24"/>
      <c r="I642" s="24"/>
      <c r="J642" s="67"/>
      <c r="K642" s="24"/>
    </row>
    <row r="643" outlineLevel="1" spans="1:11">
      <c r="A643" s="24"/>
      <c r="B643" s="60" t="str">
        <f t="shared" si="23"/>
        <v>067D</v>
      </c>
      <c r="C643" s="67"/>
      <c r="D643" s="24"/>
      <c r="E643" s="24"/>
      <c r="F643" s="24"/>
      <c r="G643" s="24"/>
      <c r="H643" s="24"/>
      <c r="I643" s="24"/>
      <c r="J643" s="67"/>
      <c r="K643" s="24"/>
    </row>
    <row r="644" outlineLevel="1" spans="1:11">
      <c r="A644" s="24"/>
      <c r="B644" s="60" t="str">
        <f t="shared" si="23"/>
        <v>067E</v>
      </c>
      <c r="C644" s="67"/>
      <c r="D644" s="24"/>
      <c r="E644" s="24"/>
      <c r="F644" s="24"/>
      <c r="G644" s="24"/>
      <c r="H644" s="24"/>
      <c r="I644" s="24"/>
      <c r="J644" s="67"/>
      <c r="K644" s="24"/>
    </row>
    <row r="645" outlineLevel="1" spans="1:11">
      <c r="A645" s="24"/>
      <c r="B645" s="60" t="str">
        <f t="shared" si="23"/>
        <v>067F</v>
      </c>
      <c r="C645" s="67"/>
      <c r="D645" s="24"/>
      <c r="E645" s="24"/>
      <c r="F645" s="24"/>
      <c r="G645" s="24"/>
      <c r="H645" s="24"/>
      <c r="I645" s="24"/>
      <c r="J645" s="67"/>
      <c r="K645" s="24"/>
    </row>
    <row r="646" spans="1:11">
      <c r="A646" s="24"/>
      <c r="B646" s="81"/>
      <c r="C646" s="67"/>
      <c r="D646" s="24"/>
      <c r="E646" s="24"/>
      <c r="F646" s="24"/>
      <c r="G646" s="24"/>
      <c r="H646" s="24"/>
      <c r="I646" s="24"/>
      <c r="J646" s="67"/>
      <c r="K646" s="24"/>
    </row>
    <row r="647" spans="1:11">
      <c r="A647" s="66" t="s">
        <v>752</v>
      </c>
      <c r="B647" s="66"/>
      <c r="C647" s="66"/>
      <c r="D647" s="66"/>
      <c r="E647" s="66"/>
      <c r="F647" s="66"/>
      <c r="G647" s="66"/>
      <c r="H647" s="66"/>
      <c r="I647" s="66"/>
      <c r="J647" s="66"/>
      <c r="K647" s="66"/>
    </row>
    <row r="648" s="47" customFormat="1" customHeight="1" outlineLevel="1" spans="1:11">
      <c r="A648" s="59"/>
      <c r="B648" s="60" t="str">
        <f>DEC2HEX(1664+ROW()-ROW($B$648),4)</f>
        <v>0680</v>
      </c>
      <c r="C648" s="63" t="s">
        <v>753</v>
      </c>
      <c r="D648" s="59" t="s">
        <v>59</v>
      </c>
      <c r="E648" s="59"/>
      <c r="F648" s="59"/>
      <c r="G648" s="59"/>
      <c r="H648" s="59"/>
      <c r="I648" s="59" t="s">
        <v>38</v>
      </c>
      <c r="J648" s="72" t="s">
        <v>279</v>
      </c>
      <c r="K648" s="89" t="s">
        <v>61</v>
      </c>
    </row>
    <row r="649" s="47" customFormat="1" outlineLevel="1" spans="1:11">
      <c r="A649" s="59"/>
      <c r="B649" s="60" t="str">
        <f t="shared" ref="B649:B711" si="24">DEC2HEX(1664+ROW()-ROW($B$648),4)</f>
        <v>0681</v>
      </c>
      <c r="C649" s="63"/>
      <c r="D649" s="59"/>
      <c r="E649" s="59"/>
      <c r="F649" s="59"/>
      <c r="G649" s="59"/>
      <c r="H649" s="59"/>
      <c r="I649" s="59"/>
      <c r="J649" s="72"/>
      <c r="K649" s="90"/>
    </row>
    <row r="650" s="47" customFormat="1" outlineLevel="1" spans="1:11">
      <c r="A650" s="59"/>
      <c r="B650" s="60" t="str">
        <f t="shared" si="24"/>
        <v>0682</v>
      </c>
      <c r="C650" s="63"/>
      <c r="D650" s="59"/>
      <c r="E650" s="59"/>
      <c r="F650" s="59"/>
      <c r="G650" s="59"/>
      <c r="H650" s="59"/>
      <c r="I650" s="59"/>
      <c r="J650" s="72"/>
      <c r="K650" s="90"/>
    </row>
    <row r="651" s="47" customFormat="1" ht="49" customHeight="1" outlineLevel="1" spans="1:11">
      <c r="A651" s="59"/>
      <c r="B651" s="60" t="str">
        <f t="shared" si="24"/>
        <v>0683</v>
      </c>
      <c r="C651" s="63"/>
      <c r="D651" s="59"/>
      <c r="E651" s="59"/>
      <c r="F651" s="59"/>
      <c r="G651" s="59"/>
      <c r="H651" s="59"/>
      <c r="I651" s="59"/>
      <c r="J651" s="72"/>
      <c r="K651" s="90"/>
    </row>
    <row r="652" s="47" customFormat="1" outlineLevel="1" spans="1:11">
      <c r="A652" s="59"/>
      <c r="B652" s="60" t="str">
        <f t="shared" si="24"/>
        <v>0684</v>
      </c>
      <c r="C652" s="85" t="s">
        <v>754</v>
      </c>
      <c r="D652" s="30" t="s">
        <v>164</v>
      </c>
      <c r="E652" s="30">
        <v>0.01</v>
      </c>
      <c r="F652" s="30" t="s">
        <v>755</v>
      </c>
      <c r="G652" s="59"/>
      <c r="H652" s="59"/>
      <c r="I652" s="30" t="s">
        <v>38</v>
      </c>
      <c r="J652" s="91" t="s">
        <v>756</v>
      </c>
      <c r="K652" s="89" t="s">
        <v>61</v>
      </c>
    </row>
    <row r="653" outlineLevel="1" spans="1:11">
      <c r="A653" s="24"/>
      <c r="B653" s="60" t="str">
        <f t="shared" si="24"/>
        <v>0685</v>
      </c>
      <c r="C653" s="86"/>
      <c r="D653" s="33"/>
      <c r="E653" s="33"/>
      <c r="F653" s="33"/>
      <c r="G653" s="24"/>
      <c r="H653" s="24"/>
      <c r="I653" s="33"/>
      <c r="J653" s="92"/>
      <c r="K653" s="90"/>
    </row>
    <row r="654" outlineLevel="1" spans="1:11">
      <c r="A654" s="24"/>
      <c r="B654" s="60" t="str">
        <f t="shared" si="24"/>
        <v>0686</v>
      </c>
      <c r="C654" s="67" t="s">
        <v>757</v>
      </c>
      <c r="D654" s="24" t="s">
        <v>164</v>
      </c>
      <c r="E654" s="76">
        <v>0.1</v>
      </c>
      <c r="F654" s="24" t="s">
        <v>755</v>
      </c>
      <c r="G654" s="24"/>
      <c r="H654" s="24"/>
      <c r="I654" s="24" t="s">
        <v>38</v>
      </c>
      <c r="J654" s="73" t="s">
        <v>165</v>
      </c>
      <c r="K654" s="89" t="s">
        <v>61</v>
      </c>
    </row>
    <row r="655" outlineLevel="1" spans="1:11">
      <c r="A655" s="24"/>
      <c r="B655" s="60" t="str">
        <f t="shared" si="24"/>
        <v>0687</v>
      </c>
      <c r="C655" s="67"/>
      <c r="D655" s="24"/>
      <c r="E655" s="76"/>
      <c r="F655" s="24"/>
      <c r="G655" s="24"/>
      <c r="H655" s="24"/>
      <c r="I655" s="24"/>
      <c r="J655" s="74"/>
      <c r="K655" s="90"/>
    </row>
    <row r="656" outlineLevel="1" spans="1:11">
      <c r="A656" s="24"/>
      <c r="B656" s="60" t="str">
        <f t="shared" si="24"/>
        <v>0688</v>
      </c>
      <c r="C656" s="85" t="s">
        <v>758</v>
      </c>
      <c r="D656" s="30" t="s">
        <v>164</v>
      </c>
      <c r="E656" s="87">
        <v>0.01</v>
      </c>
      <c r="F656" s="30" t="s">
        <v>755</v>
      </c>
      <c r="G656" s="24"/>
      <c r="H656" s="24"/>
      <c r="I656" s="30" t="s">
        <v>38</v>
      </c>
      <c r="J656" s="73" t="s">
        <v>759</v>
      </c>
      <c r="K656" s="89" t="s">
        <v>61</v>
      </c>
    </row>
    <row r="657" outlineLevel="1" spans="1:11">
      <c r="A657" s="24"/>
      <c r="B657" s="60" t="str">
        <f t="shared" si="24"/>
        <v>0689</v>
      </c>
      <c r="C657" s="86"/>
      <c r="D657" s="33"/>
      <c r="E657" s="88"/>
      <c r="F657" s="33"/>
      <c r="G657" s="24"/>
      <c r="H657" s="24"/>
      <c r="I657" s="33"/>
      <c r="J657" s="74"/>
      <c r="K657" s="90"/>
    </row>
    <row r="658" outlineLevel="1" spans="1:11">
      <c r="A658" s="24"/>
      <c r="B658" s="60" t="str">
        <f t="shared" si="24"/>
        <v>068A</v>
      </c>
      <c r="C658" s="67" t="s">
        <v>760</v>
      </c>
      <c r="D658" s="24" t="s">
        <v>164</v>
      </c>
      <c r="E658" s="76">
        <v>0.1</v>
      </c>
      <c r="F658" s="24" t="s">
        <v>755</v>
      </c>
      <c r="G658" s="24"/>
      <c r="H658" s="24"/>
      <c r="I658" s="24" t="s">
        <v>38</v>
      </c>
      <c r="J658" s="73" t="s">
        <v>761</v>
      </c>
      <c r="K658" s="89" t="s">
        <v>61</v>
      </c>
    </row>
    <row r="659" outlineLevel="1" spans="1:11">
      <c r="A659" s="24"/>
      <c r="B659" s="60" t="str">
        <f t="shared" si="24"/>
        <v>068B</v>
      </c>
      <c r="C659" s="67"/>
      <c r="D659" s="24"/>
      <c r="E659" s="76"/>
      <c r="F659" s="24"/>
      <c r="G659" s="24"/>
      <c r="H659" s="24"/>
      <c r="I659" s="24"/>
      <c r="J659" s="74"/>
      <c r="K659" s="90"/>
    </row>
    <row r="660" outlineLevel="1" spans="1:11">
      <c r="A660" s="24"/>
      <c r="B660" s="60" t="str">
        <f t="shared" si="24"/>
        <v>068C</v>
      </c>
      <c r="C660" s="85" t="s">
        <v>762</v>
      </c>
      <c r="D660" s="30" t="s">
        <v>164</v>
      </c>
      <c r="E660" s="87">
        <v>0.01</v>
      </c>
      <c r="F660" s="30" t="s">
        <v>755</v>
      </c>
      <c r="G660" s="24"/>
      <c r="H660" s="24"/>
      <c r="I660" s="30" t="s">
        <v>38</v>
      </c>
      <c r="J660" s="73" t="s">
        <v>763</v>
      </c>
      <c r="K660" s="89" t="s">
        <v>61</v>
      </c>
    </row>
    <row r="661" outlineLevel="1" spans="1:11">
      <c r="A661" s="24"/>
      <c r="B661" s="60" t="str">
        <f t="shared" si="24"/>
        <v>068D</v>
      </c>
      <c r="C661" s="86"/>
      <c r="D661" s="33"/>
      <c r="E661" s="88"/>
      <c r="F661" s="33"/>
      <c r="G661" s="24"/>
      <c r="H661" s="24"/>
      <c r="I661" s="33"/>
      <c r="J661" s="74"/>
      <c r="K661" s="90"/>
    </row>
    <row r="662" outlineLevel="1" spans="1:11">
      <c r="A662" s="24"/>
      <c r="B662" s="60" t="str">
        <f t="shared" si="24"/>
        <v>068E</v>
      </c>
      <c r="C662" s="67" t="s">
        <v>764</v>
      </c>
      <c r="D662" s="24" t="s">
        <v>164</v>
      </c>
      <c r="E662" s="76">
        <v>0.1</v>
      </c>
      <c r="F662" s="24" t="s">
        <v>755</v>
      </c>
      <c r="G662" s="24"/>
      <c r="H662" s="24"/>
      <c r="I662" s="24" t="s">
        <v>38</v>
      </c>
      <c r="J662" s="72" t="s">
        <v>765</v>
      </c>
      <c r="K662" s="89" t="s">
        <v>61</v>
      </c>
    </row>
    <row r="663" outlineLevel="1" spans="1:11">
      <c r="A663" s="24"/>
      <c r="B663" s="60" t="str">
        <f t="shared" si="24"/>
        <v>068F</v>
      </c>
      <c r="C663" s="67"/>
      <c r="D663" s="24"/>
      <c r="E663" s="76"/>
      <c r="F663" s="24"/>
      <c r="G663" s="24"/>
      <c r="H663" s="24"/>
      <c r="I663" s="24"/>
      <c r="J663" s="72"/>
      <c r="K663" s="90"/>
    </row>
    <row r="664" outlineLevel="1" spans="1:11">
      <c r="A664" s="24"/>
      <c r="B664" s="60" t="str">
        <f t="shared" si="24"/>
        <v>0690</v>
      </c>
      <c r="C664" s="85" t="s">
        <v>766</v>
      </c>
      <c r="D664" s="30" t="s">
        <v>164</v>
      </c>
      <c r="E664" s="87">
        <v>0.01</v>
      </c>
      <c r="F664" s="30" t="s">
        <v>755</v>
      </c>
      <c r="G664" s="24"/>
      <c r="H664" s="24"/>
      <c r="I664" s="30" t="s">
        <v>38</v>
      </c>
      <c r="J664" s="73" t="s">
        <v>767</v>
      </c>
      <c r="K664" s="89" t="s">
        <v>61</v>
      </c>
    </row>
    <row r="665" outlineLevel="1" spans="1:11">
      <c r="A665" s="24"/>
      <c r="B665" s="60" t="str">
        <f t="shared" si="24"/>
        <v>0691</v>
      </c>
      <c r="C665" s="86"/>
      <c r="D665" s="33"/>
      <c r="E665" s="88"/>
      <c r="F665" s="33"/>
      <c r="G665" s="24"/>
      <c r="H665" s="24"/>
      <c r="I665" s="33"/>
      <c r="J665" s="74"/>
      <c r="K665" s="90"/>
    </row>
    <row r="666" outlineLevel="1" spans="1:11">
      <c r="A666" s="24"/>
      <c r="B666" s="60" t="str">
        <f t="shared" si="24"/>
        <v>0692</v>
      </c>
      <c r="C666" s="67" t="s">
        <v>768</v>
      </c>
      <c r="D666" s="24" t="s">
        <v>164</v>
      </c>
      <c r="E666" s="76">
        <v>0.1</v>
      </c>
      <c r="F666" s="24" t="s">
        <v>755</v>
      </c>
      <c r="G666" s="24"/>
      <c r="H666" s="24"/>
      <c r="I666" s="24" t="s">
        <v>38</v>
      </c>
      <c r="J666" s="72" t="s">
        <v>769</v>
      </c>
      <c r="K666" s="89" t="s">
        <v>61</v>
      </c>
    </row>
    <row r="667" outlineLevel="1" spans="1:11">
      <c r="A667" s="24"/>
      <c r="B667" s="60" t="str">
        <f t="shared" si="24"/>
        <v>0693</v>
      </c>
      <c r="C667" s="67"/>
      <c r="D667" s="24"/>
      <c r="E667" s="76"/>
      <c r="F667" s="24"/>
      <c r="G667" s="24"/>
      <c r="H667" s="24"/>
      <c r="I667" s="24"/>
      <c r="J667" s="72"/>
      <c r="K667" s="90"/>
    </row>
    <row r="668" outlineLevel="1" spans="1:11">
      <c r="A668" s="24"/>
      <c r="B668" s="60" t="str">
        <f t="shared" si="24"/>
        <v>0694</v>
      </c>
      <c r="C668" s="85" t="s">
        <v>770</v>
      </c>
      <c r="D668" s="30" t="s">
        <v>164</v>
      </c>
      <c r="E668" s="87">
        <v>0.01</v>
      </c>
      <c r="F668" s="30" t="s">
        <v>755</v>
      </c>
      <c r="G668" s="24"/>
      <c r="H668" s="24"/>
      <c r="I668" s="30" t="s">
        <v>38</v>
      </c>
      <c r="J668" s="73" t="s">
        <v>771</v>
      </c>
      <c r="K668" s="89" t="s">
        <v>61</v>
      </c>
    </row>
    <row r="669" outlineLevel="1" spans="1:11">
      <c r="A669" s="24"/>
      <c r="B669" s="60" t="str">
        <f t="shared" si="24"/>
        <v>0695</v>
      </c>
      <c r="C669" s="86"/>
      <c r="D669" s="33"/>
      <c r="E669" s="88"/>
      <c r="F669" s="33"/>
      <c r="G669" s="24"/>
      <c r="H669" s="24"/>
      <c r="I669" s="33"/>
      <c r="J669" s="74"/>
      <c r="K669" s="90"/>
    </row>
    <row r="670" outlineLevel="1" spans="1:11">
      <c r="A670" s="24"/>
      <c r="B670" s="60" t="str">
        <f t="shared" si="24"/>
        <v>0696</v>
      </c>
      <c r="C670" s="67" t="s">
        <v>772</v>
      </c>
      <c r="D670" s="24" t="s">
        <v>164</v>
      </c>
      <c r="E670" s="76">
        <v>0.1</v>
      </c>
      <c r="F670" s="24" t="s">
        <v>755</v>
      </c>
      <c r="G670" s="24"/>
      <c r="H670" s="24"/>
      <c r="I670" s="24" t="s">
        <v>38</v>
      </c>
      <c r="J670" s="72" t="s">
        <v>773</v>
      </c>
      <c r="K670" s="89" t="s">
        <v>61</v>
      </c>
    </row>
    <row r="671" outlineLevel="1" spans="1:11">
      <c r="A671" s="24"/>
      <c r="B671" s="60" t="str">
        <f t="shared" si="24"/>
        <v>0697</v>
      </c>
      <c r="C671" s="67"/>
      <c r="D671" s="24"/>
      <c r="E671" s="76"/>
      <c r="F671" s="24"/>
      <c r="G671" s="24"/>
      <c r="H671" s="24"/>
      <c r="I671" s="24"/>
      <c r="J671" s="72"/>
      <c r="K671" s="90"/>
    </row>
    <row r="672" outlineLevel="1" spans="1:11">
      <c r="A672" s="24"/>
      <c r="B672" s="60" t="str">
        <f t="shared" si="24"/>
        <v>0698</v>
      </c>
      <c r="C672" s="85" t="s">
        <v>774</v>
      </c>
      <c r="D672" s="30" t="s">
        <v>164</v>
      </c>
      <c r="E672" s="87">
        <v>0.01</v>
      </c>
      <c r="F672" s="30" t="s">
        <v>755</v>
      </c>
      <c r="G672" s="24"/>
      <c r="H672" s="24"/>
      <c r="I672" s="30" t="s">
        <v>38</v>
      </c>
      <c r="J672" s="73" t="s">
        <v>775</v>
      </c>
      <c r="K672" s="89" t="s">
        <v>61</v>
      </c>
    </row>
    <row r="673" outlineLevel="1" spans="1:11">
      <c r="A673" s="24"/>
      <c r="B673" s="60" t="str">
        <f t="shared" si="24"/>
        <v>0699</v>
      </c>
      <c r="C673" s="86"/>
      <c r="D673" s="33"/>
      <c r="E673" s="88"/>
      <c r="F673" s="33"/>
      <c r="G673" s="24"/>
      <c r="H673" s="24"/>
      <c r="I673" s="33"/>
      <c r="J673" s="74"/>
      <c r="K673" s="90"/>
    </row>
    <row r="674" outlineLevel="1" spans="1:11">
      <c r="A674" s="24"/>
      <c r="B674" s="60" t="str">
        <f t="shared" si="24"/>
        <v>069A</v>
      </c>
      <c r="C674" s="67" t="s">
        <v>776</v>
      </c>
      <c r="D674" s="24" t="s">
        <v>164</v>
      </c>
      <c r="E674" s="76">
        <v>0.1</v>
      </c>
      <c r="F674" s="24" t="s">
        <v>755</v>
      </c>
      <c r="G674" s="24"/>
      <c r="H674" s="24"/>
      <c r="I674" s="24" t="s">
        <v>38</v>
      </c>
      <c r="J674" s="72" t="s">
        <v>777</v>
      </c>
      <c r="K674" s="89" t="s">
        <v>61</v>
      </c>
    </row>
    <row r="675" outlineLevel="1" spans="1:11">
      <c r="A675" s="24"/>
      <c r="B675" s="60" t="str">
        <f t="shared" si="24"/>
        <v>069B</v>
      </c>
      <c r="C675" s="67"/>
      <c r="D675" s="24"/>
      <c r="E675" s="76"/>
      <c r="F675" s="24"/>
      <c r="G675" s="24"/>
      <c r="H675" s="24"/>
      <c r="I675" s="24"/>
      <c r="J675" s="72"/>
      <c r="K675" s="90"/>
    </row>
    <row r="676" outlineLevel="1" spans="1:11">
      <c r="A676" s="24"/>
      <c r="B676" s="60" t="str">
        <f t="shared" si="24"/>
        <v>069C</v>
      </c>
      <c r="C676" s="67"/>
      <c r="D676" s="24"/>
      <c r="E676" s="82"/>
      <c r="F676" s="24"/>
      <c r="G676" s="24"/>
      <c r="H676" s="24"/>
      <c r="I676" s="24"/>
      <c r="J676" s="67"/>
      <c r="K676" s="89"/>
    </row>
    <row r="677" outlineLevel="1" spans="1:11">
      <c r="A677" s="24"/>
      <c r="B677" s="60" t="str">
        <f t="shared" si="24"/>
        <v>069D</v>
      </c>
      <c r="C677" s="67"/>
      <c r="D677" s="24"/>
      <c r="E677" s="82"/>
      <c r="F677" s="24"/>
      <c r="G677" s="24"/>
      <c r="H677" s="24"/>
      <c r="I677" s="24"/>
      <c r="J677" s="67"/>
      <c r="K677" s="89"/>
    </row>
    <row r="678" outlineLevel="1" spans="1:11">
      <c r="A678" s="24"/>
      <c r="B678" s="60" t="str">
        <f t="shared" si="24"/>
        <v>069E</v>
      </c>
      <c r="C678" s="67"/>
      <c r="D678" s="24"/>
      <c r="E678" s="82"/>
      <c r="F678" s="24"/>
      <c r="G678" s="24"/>
      <c r="H678" s="24"/>
      <c r="I678" s="24"/>
      <c r="J678" s="67"/>
      <c r="K678" s="89"/>
    </row>
    <row r="679" outlineLevel="1" spans="1:11">
      <c r="A679" s="24"/>
      <c r="B679" s="60" t="str">
        <f t="shared" si="24"/>
        <v>069F</v>
      </c>
      <c r="C679" s="67"/>
      <c r="D679" s="24"/>
      <c r="E679" s="82"/>
      <c r="F679" s="24"/>
      <c r="G679" s="24"/>
      <c r="H679" s="24"/>
      <c r="I679" s="24"/>
      <c r="J679" s="67"/>
      <c r="K679" s="89"/>
    </row>
    <row r="680" outlineLevel="1" spans="1:11">
      <c r="A680" s="24"/>
      <c r="B680" s="60" t="str">
        <f t="shared" si="24"/>
        <v>06A0</v>
      </c>
      <c r="C680" s="67"/>
      <c r="D680" s="24"/>
      <c r="E680" s="82"/>
      <c r="F680" s="24"/>
      <c r="G680" s="24"/>
      <c r="H680" s="24"/>
      <c r="I680" s="24"/>
      <c r="J680" s="67"/>
      <c r="K680" s="89"/>
    </row>
    <row r="681" outlineLevel="1" spans="1:11">
      <c r="A681" s="24"/>
      <c r="B681" s="60" t="str">
        <f t="shared" si="24"/>
        <v>06A1</v>
      </c>
      <c r="C681" s="67"/>
      <c r="D681" s="24"/>
      <c r="E681" s="82"/>
      <c r="F681" s="24"/>
      <c r="G681" s="24"/>
      <c r="H681" s="24"/>
      <c r="I681" s="24"/>
      <c r="J681" s="67"/>
      <c r="K681" s="89"/>
    </row>
    <row r="682" outlineLevel="1" spans="1:11">
      <c r="A682" s="24"/>
      <c r="B682" s="60" t="str">
        <f t="shared" si="24"/>
        <v>06A2</v>
      </c>
      <c r="C682" s="67"/>
      <c r="D682" s="24"/>
      <c r="E682" s="82"/>
      <c r="F682" s="24"/>
      <c r="G682" s="24"/>
      <c r="H682" s="24"/>
      <c r="I682" s="24"/>
      <c r="J682" s="67"/>
      <c r="K682" s="89"/>
    </row>
    <row r="683" outlineLevel="1" spans="1:11">
      <c r="A683" s="24"/>
      <c r="B683" s="60" t="str">
        <f t="shared" si="24"/>
        <v>06A3</v>
      </c>
      <c r="C683" s="67"/>
      <c r="D683" s="24"/>
      <c r="E683" s="82"/>
      <c r="F683" s="24"/>
      <c r="G683" s="24"/>
      <c r="H683" s="24"/>
      <c r="I683" s="24"/>
      <c r="J683" s="67"/>
      <c r="K683" s="89"/>
    </row>
    <row r="684" outlineLevel="1" spans="1:11">
      <c r="A684" s="24"/>
      <c r="B684" s="60" t="str">
        <f t="shared" si="24"/>
        <v>06A4</v>
      </c>
      <c r="C684" s="67"/>
      <c r="D684" s="24"/>
      <c r="E684" s="82"/>
      <c r="F684" s="24"/>
      <c r="G684" s="24"/>
      <c r="H684" s="24"/>
      <c r="I684" s="24"/>
      <c r="J684" s="67"/>
      <c r="K684" s="89"/>
    </row>
    <row r="685" outlineLevel="1" spans="1:11">
      <c r="A685" s="24"/>
      <c r="B685" s="60" t="str">
        <f t="shared" si="24"/>
        <v>06A5</v>
      </c>
      <c r="C685" s="67"/>
      <c r="D685" s="24"/>
      <c r="E685" s="82"/>
      <c r="F685" s="24"/>
      <c r="G685" s="24"/>
      <c r="H685" s="24"/>
      <c r="I685" s="24"/>
      <c r="J685" s="67"/>
      <c r="K685" s="89"/>
    </row>
    <row r="686" outlineLevel="1" spans="1:11">
      <c r="A686" s="24"/>
      <c r="B686" s="60" t="str">
        <f t="shared" si="24"/>
        <v>06A6</v>
      </c>
      <c r="C686" s="67"/>
      <c r="D686" s="24"/>
      <c r="E686" s="82"/>
      <c r="F686" s="24"/>
      <c r="G686" s="24"/>
      <c r="H686" s="24"/>
      <c r="I686" s="24"/>
      <c r="J686" s="67"/>
      <c r="K686" s="89"/>
    </row>
    <row r="687" outlineLevel="1" spans="1:11">
      <c r="A687" s="24"/>
      <c r="B687" s="60" t="str">
        <f t="shared" si="24"/>
        <v>06A7</v>
      </c>
      <c r="C687" s="67"/>
      <c r="D687" s="24"/>
      <c r="E687" s="82"/>
      <c r="F687" s="24"/>
      <c r="G687" s="24"/>
      <c r="H687" s="24"/>
      <c r="I687" s="24"/>
      <c r="J687" s="67"/>
      <c r="K687" s="89"/>
    </row>
    <row r="688" outlineLevel="1" spans="1:11">
      <c r="A688" s="24"/>
      <c r="B688" s="60" t="str">
        <f t="shared" si="24"/>
        <v>06A8</v>
      </c>
      <c r="C688" s="67"/>
      <c r="D688" s="24"/>
      <c r="E688" s="82"/>
      <c r="F688" s="24"/>
      <c r="G688" s="24"/>
      <c r="H688" s="24"/>
      <c r="I688" s="24"/>
      <c r="J688" s="67"/>
      <c r="K688" s="89"/>
    </row>
    <row r="689" outlineLevel="1" spans="1:11">
      <c r="A689" s="24"/>
      <c r="B689" s="60" t="str">
        <f t="shared" si="24"/>
        <v>06A9</v>
      </c>
      <c r="C689" s="67"/>
      <c r="D689" s="24"/>
      <c r="E689" s="82"/>
      <c r="F689" s="24"/>
      <c r="G689" s="24"/>
      <c r="H689" s="24"/>
      <c r="I689" s="24"/>
      <c r="J689" s="67"/>
      <c r="K689" s="89"/>
    </row>
    <row r="690" outlineLevel="1" spans="1:11">
      <c r="A690" s="24"/>
      <c r="B690" s="60" t="str">
        <f t="shared" si="24"/>
        <v>06AA</v>
      </c>
      <c r="C690" s="67"/>
      <c r="D690" s="24"/>
      <c r="E690" s="82"/>
      <c r="F690" s="24"/>
      <c r="G690" s="24"/>
      <c r="H690" s="24"/>
      <c r="I690" s="24"/>
      <c r="J690" s="67"/>
      <c r="K690" s="89"/>
    </row>
    <row r="691" outlineLevel="1" spans="1:11">
      <c r="A691" s="24"/>
      <c r="B691" s="60" t="str">
        <f t="shared" si="24"/>
        <v>06AB</v>
      </c>
      <c r="C691" s="67"/>
      <c r="D691" s="24"/>
      <c r="E691" s="82"/>
      <c r="F691" s="24"/>
      <c r="G691" s="24"/>
      <c r="H691" s="24"/>
      <c r="I691" s="24"/>
      <c r="J691" s="67"/>
      <c r="K691" s="89"/>
    </row>
    <row r="692" outlineLevel="1" spans="1:11">
      <c r="A692" s="24"/>
      <c r="B692" s="60" t="str">
        <f t="shared" si="24"/>
        <v>06AC</v>
      </c>
      <c r="C692" s="67"/>
      <c r="D692" s="24"/>
      <c r="E692" s="82"/>
      <c r="F692" s="24"/>
      <c r="G692" s="24"/>
      <c r="H692" s="24"/>
      <c r="I692" s="24"/>
      <c r="J692" s="67"/>
      <c r="K692" s="89"/>
    </row>
    <row r="693" outlineLevel="1" spans="1:11">
      <c r="A693" s="24"/>
      <c r="B693" s="60" t="str">
        <f t="shared" si="24"/>
        <v>06AD</v>
      </c>
      <c r="C693" s="67"/>
      <c r="D693" s="24"/>
      <c r="E693" s="82"/>
      <c r="F693" s="24"/>
      <c r="G693" s="24"/>
      <c r="H693" s="24"/>
      <c r="I693" s="24"/>
      <c r="J693" s="67"/>
      <c r="K693" s="89"/>
    </row>
    <row r="694" outlineLevel="1" spans="1:11">
      <c r="A694" s="24"/>
      <c r="B694" s="60" t="str">
        <f t="shared" si="24"/>
        <v>06AE</v>
      </c>
      <c r="C694" s="67"/>
      <c r="D694" s="24"/>
      <c r="E694" s="82"/>
      <c r="F694" s="24"/>
      <c r="G694" s="24"/>
      <c r="H694" s="24"/>
      <c r="I694" s="24"/>
      <c r="J694" s="67"/>
      <c r="K694" s="89"/>
    </row>
    <row r="695" outlineLevel="1" spans="1:11">
      <c r="A695" s="24"/>
      <c r="B695" s="60" t="str">
        <f t="shared" si="24"/>
        <v>06AF</v>
      </c>
      <c r="C695" s="67"/>
      <c r="D695" s="24"/>
      <c r="E695" s="82"/>
      <c r="F695" s="24"/>
      <c r="G695" s="24"/>
      <c r="H695" s="24"/>
      <c r="I695" s="24"/>
      <c r="J695" s="67"/>
      <c r="K695" s="89"/>
    </row>
    <row r="696" outlineLevel="1" spans="1:11">
      <c r="A696" s="24"/>
      <c r="B696" s="60" t="str">
        <f t="shared" si="24"/>
        <v>06B0</v>
      </c>
      <c r="C696" s="67"/>
      <c r="D696" s="24"/>
      <c r="E696" s="82"/>
      <c r="F696" s="24"/>
      <c r="G696" s="24"/>
      <c r="H696" s="24"/>
      <c r="I696" s="24"/>
      <c r="J696" s="67"/>
      <c r="K696" s="89"/>
    </row>
    <row r="697" outlineLevel="1" spans="1:11">
      <c r="A697" s="24"/>
      <c r="B697" s="60" t="str">
        <f t="shared" si="24"/>
        <v>06B1</v>
      </c>
      <c r="C697" s="67"/>
      <c r="D697" s="24"/>
      <c r="E697" s="82"/>
      <c r="F697" s="24"/>
      <c r="G697" s="24"/>
      <c r="H697" s="24"/>
      <c r="I697" s="24"/>
      <c r="J697" s="67"/>
      <c r="K697" s="89"/>
    </row>
    <row r="698" outlineLevel="1" spans="1:11">
      <c r="A698" s="24"/>
      <c r="B698" s="60" t="str">
        <f t="shared" si="24"/>
        <v>06B2</v>
      </c>
      <c r="C698" s="67"/>
      <c r="D698" s="24"/>
      <c r="E698" s="82"/>
      <c r="F698" s="24"/>
      <c r="G698" s="24"/>
      <c r="H698" s="24"/>
      <c r="I698" s="24"/>
      <c r="J698" s="67"/>
      <c r="K698" s="89"/>
    </row>
    <row r="699" outlineLevel="1" spans="1:11">
      <c r="A699" s="24"/>
      <c r="B699" s="60" t="str">
        <f t="shared" si="24"/>
        <v>06B3</v>
      </c>
      <c r="C699" s="67"/>
      <c r="D699" s="24"/>
      <c r="E699" s="82"/>
      <c r="F699" s="24"/>
      <c r="G699" s="24"/>
      <c r="H699" s="24"/>
      <c r="I699" s="24"/>
      <c r="J699" s="67"/>
      <c r="K699" s="89"/>
    </row>
    <row r="700" outlineLevel="1" spans="1:11">
      <c r="A700" s="24"/>
      <c r="B700" s="60" t="str">
        <f t="shared" si="24"/>
        <v>06B4</v>
      </c>
      <c r="C700" s="67"/>
      <c r="D700" s="24"/>
      <c r="E700" s="82"/>
      <c r="F700" s="24"/>
      <c r="G700" s="24"/>
      <c r="H700" s="24"/>
      <c r="I700" s="24"/>
      <c r="J700" s="67"/>
      <c r="K700" s="89"/>
    </row>
    <row r="701" outlineLevel="1" spans="1:11">
      <c r="A701" s="24"/>
      <c r="B701" s="60" t="str">
        <f t="shared" si="24"/>
        <v>06B5</v>
      </c>
      <c r="C701" s="67"/>
      <c r="D701" s="24"/>
      <c r="E701" s="82"/>
      <c r="F701" s="24"/>
      <c r="G701" s="24"/>
      <c r="H701" s="24"/>
      <c r="I701" s="24"/>
      <c r="J701" s="67"/>
      <c r="K701" s="89"/>
    </row>
    <row r="702" outlineLevel="1" spans="1:11">
      <c r="A702" s="24"/>
      <c r="B702" s="60" t="str">
        <f t="shared" si="24"/>
        <v>06B6</v>
      </c>
      <c r="C702" s="67"/>
      <c r="D702" s="24"/>
      <c r="E702" s="82"/>
      <c r="F702" s="24"/>
      <c r="G702" s="24"/>
      <c r="H702" s="24"/>
      <c r="I702" s="24"/>
      <c r="J702" s="67"/>
      <c r="K702" s="89"/>
    </row>
    <row r="703" outlineLevel="1" spans="1:11">
      <c r="A703" s="24"/>
      <c r="B703" s="60" t="str">
        <f t="shared" si="24"/>
        <v>06B7</v>
      </c>
      <c r="C703" s="67"/>
      <c r="D703" s="24"/>
      <c r="E703" s="82"/>
      <c r="F703" s="24"/>
      <c r="G703" s="24"/>
      <c r="H703" s="24"/>
      <c r="I703" s="24"/>
      <c r="J703" s="67"/>
      <c r="K703" s="89"/>
    </row>
    <row r="704" outlineLevel="1" spans="1:11">
      <c r="A704" s="24"/>
      <c r="B704" s="60" t="str">
        <f t="shared" si="24"/>
        <v>06B8</v>
      </c>
      <c r="C704" s="67"/>
      <c r="D704" s="24"/>
      <c r="E704" s="82"/>
      <c r="F704" s="24"/>
      <c r="G704" s="24"/>
      <c r="H704" s="24"/>
      <c r="I704" s="24"/>
      <c r="J704" s="67"/>
      <c r="K704" s="89"/>
    </row>
    <row r="705" outlineLevel="1" spans="1:11">
      <c r="A705" s="24"/>
      <c r="B705" s="60" t="str">
        <f t="shared" si="24"/>
        <v>06B9</v>
      </c>
      <c r="C705" s="67"/>
      <c r="D705" s="24"/>
      <c r="E705" s="82"/>
      <c r="F705" s="24"/>
      <c r="G705" s="24"/>
      <c r="H705" s="24"/>
      <c r="I705" s="24"/>
      <c r="J705" s="67"/>
      <c r="K705" s="89"/>
    </row>
    <row r="706" outlineLevel="1" spans="1:11">
      <c r="A706" s="24"/>
      <c r="B706" s="60" t="str">
        <f t="shared" si="24"/>
        <v>06BA</v>
      </c>
      <c r="C706" s="67"/>
      <c r="D706" s="24"/>
      <c r="E706" s="82"/>
      <c r="F706" s="24"/>
      <c r="G706" s="24"/>
      <c r="H706" s="24"/>
      <c r="I706" s="24"/>
      <c r="J706" s="67"/>
      <c r="K706" s="89"/>
    </row>
    <row r="707" outlineLevel="1" spans="1:11">
      <c r="A707" s="24"/>
      <c r="B707" s="60" t="str">
        <f t="shared" si="24"/>
        <v>06BB</v>
      </c>
      <c r="C707" s="67"/>
      <c r="D707" s="24"/>
      <c r="E707" s="82"/>
      <c r="F707" s="24"/>
      <c r="G707" s="24"/>
      <c r="H707" s="24"/>
      <c r="I707" s="24"/>
      <c r="J707" s="67"/>
      <c r="K707" s="89"/>
    </row>
    <row r="708" outlineLevel="1" spans="1:11">
      <c r="A708" s="24"/>
      <c r="B708" s="60" t="str">
        <f t="shared" si="24"/>
        <v>06BC</v>
      </c>
      <c r="C708" s="67"/>
      <c r="D708" s="24"/>
      <c r="E708" s="82"/>
      <c r="F708" s="24"/>
      <c r="G708" s="24"/>
      <c r="H708" s="24"/>
      <c r="I708" s="24"/>
      <c r="J708" s="67"/>
      <c r="K708" s="89"/>
    </row>
    <row r="709" outlineLevel="1" spans="1:11">
      <c r="A709" s="24"/>
      <c r="B709" s="60" t="str">
        <f t="shared" si="24"/>
        <v>06BD</v>
      </c>
      <c r="C709" s="67"/>
      <c r="D709" s="24"/>
      <c r="E709" s="82"/>
      <c r="F709" s="24"/>
      <c r="G709" s="24"/>
      <c r="H709" s="24"/>
      <c r="I709" s="24"/>
      <c r="J709" s="67"/>
      <c r="K709" s="89"/>
    </row>
    <row r="710" outlineLevel="1" spans="1:11">
      <c r="A710" s="24"/>
      <c r="B710" s="60" t="str">
        <f t="shared" si="24"/>
        <v>06BE</v>
      </c>
      <c r="C710" s="67"/>
      <c r="D710" s="24"/>
      <c r="E710" s="82"/>
      <c r="F710" s="24"/>
      <c r="G710" s="24"/>
      <c r="H710" s="24"/>
      <c r="I710" s="24"/>
      <c r="J710" s="67"/>
      <c r="K710" s="89"/>
    </row>
    <row r="711" outlineLevel="1" spans="1:11">
      <c r="A711" s="24"/>
      <c r="B711" s="60" t="str">
        <f t="shared" si="24"/>
        <v>06BF</v>
      </c>
      <c r="C711" s="67"/>
      <c r="D711" s="24"/>
      <c r="E711" s="82"/>
      <c r="F711" s="24"/>
      <c r="G711" s="24"/>
      <c r="H711" s="24"/>
      <c r="I711" s="24"/>
      <c r="J711" s="67"/>
      <c r="K711" s="89"/>
    </row>
    <row r="712" spans="1:11">
      <c r="A712" s="24"/>
      <c r="B712" s="81"/>
      <c r="C712" s="67"/>
      <c r="D712" s="24"/>
      <c r="E712" s="24"/>
      <c r="F712" s="24"/>
      <c r="G712" s="24"/>
      <c r="H712" s="24"/>
      <c r="I712" s="24"/>
      <c r="J712" s="67"/>
      <c r="K712" s="24"/>
    </row>
    <row r="713" spans="1:11">
      <c r="A713" s="66" t="s">
        <v>778</v>
      </c>
      <c r="B713" s="66"/>
      <c r="C713" s="66"/>
      <c r="D713" s="66"/>
      <c r="E713" s="66"/>
      <c r="F713" s="66"/>
      <c r="G713" s="66"/>
      <c r="H713" s="66"/>
      <c r="I713" s="66"/>
      <c r="J713" s="66"/>
      <c r="K713" s="66"/>
    </row>
    <row r="714" s="47" customFormat="1" customHeight="1" outlineLevel="1" spans="1:11">
      <c r="A714" s="59"/>
      <c r="B714" s="60" t="str">
        <f>DEC2HEX(1728+ROW()-ROW($B$714),4)</f>
        <v>06C0</v>
      </c>
      <c r="C714" s="63" t="s">
        <v>779</v>
      </c>
      <c r="D714" s="59" t="s">
        <v>59</v>
      </c>
      <c r="E714" s="59"/>
      <c r="F714" s="59"/>
      <c r="G714" s="59"/>
      <c r="H714" s="59"/>
      <c r="I714" s="59" t="s">
        <v>38</v>
      </c>
      <c r="J714" s="72" t="s">
        <v>573</v>
      </c>
      <c r="K714" s="89" t="s">
        <v>780</v>
      </c>
    </row>
    <row r="715" s="47" customFormat="1" outlineLevel="1" spans="1:11">
      <c r="A715" s="59"/>
      <c r="B715" s="60" t="str">
        <f t="shared" ref="B715:B777" si="25">DEC2HEX(1728+ROW()-ROW($B$714),4)</f>
        <v>06C1</v>
      </c>
      <c r="C715" s="63"/>
      <c r="D715" s="59"/>
      <c r="E715" s="59"/>
      <c r="F715" s="59"/>
      <c r="G715" s="59"/>
      <c r="H715" s="59"/>
      <c r="I715" s="59"/>
      <c r="J715" s="72"/>
      <c r="K715" s="90"/>
    </row>
    <row r="716" s="47" customFormat="1" outlineLevel="1" spans="1:11">
      <c r="A716" s="59"/>
      <c r="B716" s="60" t="str">
        <f t="shared" si="25"/>
        <v>06C2</v>
      </c>
      <c r="C716" s="63"/>
      <c r="D716" s="59"/>
      <c r="E716" s="59"/>
      <c r="F716" s="59"/>
      <c r="G716" s="59"/>
      <c r="H716" s="59"/>
      <c r="I716" s="59"/>
      <c r="J716" s="72"/>
      <c r="K716" s="90"/>
    </row>
    <row r="717" s="47" customFormat="1" ht="52" customHeight="1" outlineLevel="1" spans="1:11">
      <c r="A717" s="59"/>
      <c r="B717" s="60" t="str">
        <f t="shared" si="25"/>
        <v>06C3</v>
      </c>
      <c r="C717" s="63"/>
      <c r="D717" s="59"/>
      <c r="E717" s="59"/>
      <c r="F717" s="59"/>
      <c r="G717" s="59"/>
      <c r="H717" s="59"/>
      <c r="I717" s="59"/>
      <c r="J717" s="72"/>
      <c r="K717" s="90"/>
    </row>
    <row r="718" outlineLevel="1" spans="1:11">
      <c r="A718" s="24"/>
      <c r="B718" s="60" t="str">
        <f t="shared" si="25"/>
        <v>06C4</v>
      </c>
      <c r="C718" s="67" t="s">
        <v>781</v>
      </c>
      <c r="D718" s="24" t="s">
        <v>89</v>
      </c>
      <c r="E718" s="24">
        <v>1</v>
      </c>
      <c r="F718" s="24" t="s">
        <v>782</v>
      </c>
      <c r="G718" s="24"/>
      <c r="H718" s="24"/>
      <c r="I718" s="24" t="s">
        <v>38</v>
      </c>
      <c r="J718" s="72" t="s">
        <v>783</v>
      </c>
      <c r="K718" s="89" t="s">
        <v>780</v>
      </c>
    </row>
    <row r="719" outlineLevel="1" spans="1:11">
      <c r="A719" s="24"/>
      <c r="B719" s="60" t="str">
        <f t="shared" si="25"/>
        <v>06C5</v>
      </c>
      <c r="C719" s="67" t="s">
        <v>784</v>
      </c>
      <c r="D719" s="24" t="s">
        <v>131</v>
      </c>
      <c r="E719" s="24">
        <v>0.01</v>
      </c>
      <c r="F719" s="24" t="s">
        <v>303</v>
      </c>
      <c r="G719" s="24"/>
      <c r="H719" s="24"/>
      <c r="I719" s="24" t="s">
        <v>38</v>
      </c>
      <c r="J719" s="72" t="s">
        <v>785</v>
      </c>
      <c r="K719" s="89" t="s">
        <v>780</v>
      </c>
    </row>
    <row r="720" outlineLevel="1" spans="1:11">
      <c r="A720" s="24"/>
      <c r="B720" s="60" t="str">
        <f t="shared" si="25"/>
        <v>06C6</v>
      </c>
      <c r="C720" s="67" t="s">
        <v>786</v>
      </c>
      <c r="D720" s="24" t="s">
        <v>131</v>
      </c>
      <c r="E720" s="24">
        <v>1</v>
      </c>
      <c r="F720" s="24" t="s">
        <v>782</v>
      </c>
      <c r="G720" s="24"/>
      <c r="H720" s="24"/>
      <c r="I720" s="24" t="s">
        <v>38</v>
      </c>
      <c r="J720" s="72" t="s">
        <v>787</v>
      </c>
      <c r="K720" s="89" t="s">
        <v>780</v>
      </c>
    </row>
    <row r="721" outlineLevel="1" spans="1:11">
      <c r="A721" s="24"/>
      <c r="B721" s="60" t="str">
        <f t="shared" si="25"/>
        <v>06C7</v>
      </c>
      <c r="C721" s="67" t="s">
        <v>788</v>
      </c>
      <c r="D721" s="24" t="s">
        <v>131</v>
      </c>
      <c r="E721" s="24">
        <v>1</v>
      </c>
      <c r="F721" s="24" t="s">
        <v>782</v>
      </c>
      <c r="G721" s="24"/>
      <c r="H721" s="24"/>
      <c r="I721" s="24" t="s">
        <v>38</v>
      </c>
      <c r="J721" s="72" t="s">
        <v>789</v>
      </c>
      <c r="K721" s="89" t="s">
        <v>780</v>
      </c>
    </row>
    <row r="722" outlineLevel="1" spans="1:11">
      <c r="A722" s="24"/>
      <c r="B722" s="60" t="str">
        <f t="shared" si="25"/>
        <v>06C8</v>
      </c>
      <c r="C722" s="67" t="s">
        <v>790</v>
      </c>
      <c r="D722" s="24" t="s">
        <v>131</v>
      </c>
      <c r="E722" s="24">
        <v>1</v>
      </c>
      <c r="F722" s="24" t="s">
        <v>782</v>
      </c>
      <c r="G722" s="24"/>
      <c r="H722" s="24"/>
      <c r="I722" s="24" t="s">
        <v>38</v>
      </c>
      <c r="J722" s="72" t="s">
        <v>791</v>
      </c>
      <c r="K722" s="89" t="s">
        <v>780</v>
      </c>
    </row>
    <row r="723" outlineLevel="1" spans="1:11">
      <c r="A723" s="24"/>
      <c r="B723" s="60" t="str">
        <f t="shared" si="25"/>
        <v>06C9</v>
      </c>
      <c r="C723" s="67" t="s">
        <v>792</v>
      </c>
      <c r="D723" s="24" t="s">
        <v>131</v>
      </c>
      <c r="E723" s="24">
        <v>1</v>
      </c>
      <c r="F723" s="24" t="s">
        <v>793</v>
      </c>
      <c r="G723" s="24"/>
      <c r="H723" s="24"/>
      <c r="I723" s="24" t="s">
        <v>38</v>
      </c>
      <c r="J723" s="72" t="s">
        <v>794</v>
      </c>
      <c r="K723" s="89" t="s">
        <v>780</v>
      </c>
    </row>
    <row r="724" outlineLevel="1" spans="1:11">
      <c r="A724" s="24"/>
      <c r="B724" s="60" t="str">
        <f t="shared" si="25"/>
        <v>06CA</v>
      </c>
      <c r="C724" s="67" t="s">
        <v>795</v>
      </c>
      <c r="D724" s="24" t="s">
        <v>131</v>
      </c>
      <c r="E724" s="24">
        <v>1</v>
      </c>
      <c r="F724" s="24" t="s">
        <v>793</v>
      </c>
      <c r="G724" s="24"/>
      <c r="H724" s="24"/>
      <c r="I724" s="24" t="s">
        <v>38</v>
      </c>
      <c r="J724" s="72" t="s">
        <v>796</v>
      </c>
      <c r="K724" s="89" t="s">
        <v>780</v>
      </c>
    </row>
    <row r="725" outlineLevel="1" spans="1:11">
      <c r="A725" s="24"/>
      <c r="B725" s="60" t="str">
        <f t="shared" si="25"/>
        <v>06CB</v>
      </c>
      <c r="C725" s="67" t="s">
        <v>797</v>
      </c>
      <c r="D725" s="24" t="s">
        <v>131</v>
      </c>
      <c r="E725" s="24">
        <v>1</v>
      </c>
      <c r="F725" s="24" t="s">
        <v>793</v>
      </c>
      <c r="G725" s="24"/>
      <c r="H725" s="24"/>
      <c r="I725" s="24" t="s">
        <v>38</v>
      </c>
      <c r="J725" s="72" t="s">
        <v>798</v>
      </c>
      <c r="K725" s="89" t="s">
        <v>780</v>
      </c>
    </row>
    <row r="726" outlineLevel="1" spans="1:11">
      <c r="A726" s="24"/>
      <c r="B726" s="60" t="str">
        <f t="shared" si="25"/>
        <v>06CC</v>
      </c>
      <c r="C726" s="67" t="s">
        <v>799</v>
      </c>
      <c r="D726" s="24" t="s">
        <v>89</v>
      </c>
      <c r="E726" s="24">
        <v>0.1</v>
      </c>
      <c r="F726" s="24" t="s">
        <v>44</v>
      </c>
      <c r="G726" s="24"/>
      <c r="H726" s="24"/>
      <c r="I726" s="24" t="s">
        <v>38</v>
      </c>
      <c r="J726" s="72" t="s">
        <v>800</v>
      </c>
      <c r="K726" s="89" t="s">
        <v>780</v>
      </c>
    </row>
    <row r="727" outlineLevel="1" spans="1:11">
      <c r="A727" s="24"/>
      <c r="B727" s="60" t="str">
        <f t="shared" si="25"/>
        <v>06CD</v>
      </c>
      <c r="C727" s="67" t="s">
        <v>801</v>
      </c>
      <c r="D727" s="24" t="s">
        <v>89</v>
      </c>
      <c r="E727" s="24">
        <v>0.1</v>
      </c>
      <c r="F727" s="24" t="s">
        <v>44</v>
      </c>
      <c r="G727" s="24"/>
      <c r="H727" s="24"/>
      <c r="I727" s="24" t="s">
        <v>38</v>
      </c>
      <c r="J727" s="72" t="s">
        <v>802</v>
      </c>
      <c r="K727" s="89" t="s">
        <v>780</v>
      </c>
    </row>
    <row r="728" outlineLevel="1" spans="1:11">
      <c r="A728" s="24"/>
      <c r="B728" s="60" t="str">
        <f t="shared" si="25"/>
        <v>06CE</v>
      </c>
      <c r="C728" s="67" t="s">
        <v>803</v>
      </c>
      <c r="D728" s="24" t="s">
        <v>89</v>
      </c>
      <c r="E728" s="24">
        <v>0.1</v>
      </c>
      <c r="F728" s="24" t="s">
        <v>44</v>
      </c>
      <c r="G728" s="24"/>
      <c r="H728" s="24"/>
      <c r="I728" s="24" t="s">
        <v>38</v>
      </c>
      <c r="J728" s="72" t="s">
        <v>804</v>
      </c>
      <c r="K728" s="89" t="s">
        <v>780</v>
      </c>
    </row>
    <row r="729" outlineLevel="1" spans="1:11">
      <c r="A729" s="24"/>
      <c r="B729" s="60" t="str">
        <f t="shared" si="25"/>
        <v>06CF</v>
      </c>
      <c r="C729" s="67" t="s">
        <v>805</v>
      </c>
      <c r="D729" s="24" t="s">
        <v>89</v>
      </c>
      <c r="E729" s="24">
        <v>0.1</v>
      </c>
      <c r="F729" s="24" t="s">
        <v>44</v>
      </c>
      <c r="G729" s="24"/>
      <c r="H729" s="24"/>
      <c r="I729" s="24" t="s">
        <v>38</v>
      </c>
      <c r="J729" s="72" t="s">
        <v>806</v>
      </c>
      <c r="K729" s="89" t="s">
        <v>780</v>
      </c>
    </row>
    <row r="730" outlineLevel="1" spans="1:11">
      <c r="A730" s="24"/>
      <c r="B730" s="60" t="str">
        <f t="shared" si="25"/>
        <v>06D0</v>
      </c>
      <c r="C730" s="67" t="s">
        <v>807</v>
      </c>
      <c r="D730" s="24" t="s">
        <v>131</v>
      </c>
      <c r="E730" s="24">
        <v>0.01</v>
      </c>
      <c r="F730" s="24" t="s">
        <v>303</v>
      </c>
      <c r="G730" s="24"/>
      <c r="H730" s="24"/>
      <c r="I730" s="24" t="s">
        <v>38</v>
      </c>
      <c r="J730" s="72" t="s">
        <v>808</v>
      </c>
      <c r="K730" s="89" t="s">
        <v>780</v>
      </c>
    </row>
    <row r="731" outlineLevel="1" spans="1:11">
      <c r="A731" s="24"/>
      <c r="B731" s="60" t="str">
        <f t="shared" si="25"/>
        <v>06D1</v>
      </c>
      <c r="C731" s="67" t="s">
        <v>809</v>
      </c>
      <c r="D731" s="24" t="s">
        <v>89</v>
      </c>
      <c r="E731" s="24">
        <v>0.1</v>
      </c>
      <c r="F731" s="24" t="s">
        <v>44</v>
      </c>
      <c r="G731" s="24"/>
      <c r="H731" s="24"/>
      <c r="I731" s="24" t="s">
        <v>38</v>
      </c>
      <c r="J731" s="72" t="s">
        <v>810</v>
      </c>
      <c r="K731" s="89"/>
    </row>
    <row r="732" outlineLevel="1" spans="1:11">
      <c r="A732" s="24"/>
      <c r="B732" s="60" t="str">
        <f t="shared" si="25"/>
        <v>06D2</v>
      </c>
      <c r="C732" s="67" t="s">
        <v>811</v>
      </c>
      <c r="D732" s="24" t="s">
        <v>89</v>
      </c>
      <c r="E732" s="24">
        <v>0.1</v>
      </c>
      <c r="F732" s="24" t="s">
        <v>44</v>
      </c>
      <c r="G732" s="24"/>
      <c r="H732" s="24"/>
      <c r="I732" s="24" t="s">
        <v>38</v>
      </c>
      <c r="J732" s="72" t="s">
        <v>812</v>
      </c>
      <c r="K732" s="89"/>
    </row>
    <row r="733" outlineLevel="1" spans="1:11">
      <c r="A733" s="24"/>
      <c r="B733" s="60" t="str">
        <f t="shared" si="25"/>
        <v>06D3</v>
      </c>
      <c r="C733" s="67" t="s">
        <v>813</v>
      </c>
      <c r="D733" s="24" t="s">
        <v>89</v>
      </c>
      <c r="E733" s="24">
        <v>0.1</v>
      </c>
      <c r="F733" s="24" t="s">
        <v>44</v>
      </c>
      <c r="G733" s="24"/>
      <c r="H733" s="24"/>
      <c r="I733" s="24" t="s">
        <v>38</v>
      </c>
      <c r="J733" s="72" t="s">
        <v>814</v>
      </c>
      <c r="K733" s="89"/>
    </row>
    <row r="734" outlineLevel="1" spans="1:11">
      <c r="A734" s="24"/>
      <c r="B734" s="60" t="str">
        <f t="shared" si="25"/>
        <v>06D4</v>
      </c>
      <c r="C734" s="67" t="s">
        <v>815</v>
      </c>
      <c r="D734" s="24" t="s">
        <v>89</v>
      </c>
      <c r="E734" s="24">
        <v>0.1</v>
      </c>
      <c r="F734" s="24" t="s">
        <v>44</v>
      </c>
      <c r="G734" s="24"/>
      <c r="H734" s="24"/>
      <c r="I734" s="24" t="s">
        <v>38</v>
      </c>
      <c r="J734" s="72" t="s">
        <v>816</v>
      </c>
      <c r="K734" s="89"/>
    </row>
    <row r="735" outlineLevel="1" spans="1:11">
      <c r="A735" s="24"/>
      <c r="B735" s="60" t="str">
        <f t="shared" si="25"/>
        <v>06D5</v>
      </c>
      <c r="C735" s="67" t="s">
        <v>817</v>
      </c>
      <c r="D735" s="24" t="s">
        <v>89</v>
      </c>
      <c r="E735" s="24">
        <v>0.1</v>
      </c>
      <c r="F735" s="24" t="s">
        <v>44</v>
      </c>
      <c r="G735" s="24"/>
      <c r="H735" s="24"/>
      <c r="I735" s="24" t="s">
        <v>38</v>
      </c>
      <c r="J735" s="72" t="s">
        <v>818</v>
      </c>
      <c r="K735" s="89"/>
    </row>
    <row r="736" outlineLevel="1" spans="1:11">
      <c r="A736" s="24"/>
      <c r="B736" s="60" t="str">
        <f t="shared" si="25"/>
        <v>06D6</v>
      </c>
      <c r="C736" s="67" t="s">
        <v>819</v>
      </c>
      <c r="D736" s="24" t="s">
        <v>89</v>
      </c>
      <c r="E736" s="24">
        <v>0.1</v>
      </c>
      <c r="F736" s="24" t="s">
        <v>44</v>
      </c>
      <c r="G736" s="24"/>
      <c r="H736" s="24"/>
      <c r="I736" s="24" t="s">
        <v>38</v>
      </c>
      <c r="J736" s="72" t="s">
        <v>820</v>
      </c>
      <c r="K736" s="89"/>
    </row>
    <row r="737" outlineLevel="1" spans="1:11">
      <c r="A737" s="24"/>
      <c r="B737" s="60" t="str">
        <f t="shared" si="25"/>
        <v>06D7</v>
      </c>
      <c r="C737" s="67" t="s">
        <v>821</v>
      </c>
      <c r="D737" s="24" t="s">
        <v>89</v>
      </c>
      <c r="E737" s="24">
        <v>0.1</v>
      </c>
      <c r="F737" s="24" t="s">
        <v>44</v>
      </c>
      <c r="G737" s="24"/>
      <c r="H737" s="24"/>
      <c r="I737" s="24" t="s">
        <v>38</v>
      </c>
      <c r="J737" s="72" t="s">
        <v>822</v>
      </c>
      <c r="K737" s="89"/>
    </row>
    <row r="738" outlineLevel="1" spans="1:11">
      <c r="A738" s="24"/>
      <c r="B738" s="60" t="str">
        <f t="shared" si="25"/>
        <v>06D8</v>
      </c>
      <c r="C738" s="67" t="s">
        <v>823</v>
      </c>
      <c r="D738" s="24" t="s">
        <v>89</v>
      </c>
      <c r="E738" s="24">
        <v>0.1</v>
      </c>
      <c r="F738" s="24" t="s">
        <v>44</v>
      </c>
      <c r="G738" s="24"/>
      <c r="H738" s="24"/>
      <c r="I738" s="24" t="s">
        <v>38</v>
      </c>
      <c r="J738" s="72" t="s">
        <v>824</v>
      </c>
      <c r="K738" s="89"/>
    </row>
    <row r="739" outlineLevel="1" spans="1:11">
      <c r="A739" s="24"/>
      <c r="B739" s="60" t="str">
        <f t="shared" si="25"/>
        <v>06D9</v>
      </c>
      <c r="C739" s="67" t="s">
        <v>825</v>
      </c>
      <c r="D739" s="24" t="s">
        <v>89</v>
      </c>
      <c r="E739" s="24">
        <v>0.1</v>
      </c>
      <c r="F739" s="24" t="s">
        <v>44</v>
      </c>
      <c r="G739" s="24"/>
      <c r="H739" s="24"/>
      <c r="I739" s="24" t="s">
        <v>38</v>
      </c>
      <c r="J739" s="72" t="s">
        <v>826</v>
      </c>
      <c r="K739" s="89"/>
    </row>
    <row r="740" outlineLevel="1" spans="1:11">
      <c r="A740" s="24"/>
      <c r="B740" s="60" t="str">
        <f t="shared" si="25"/>
        <v>06DA</v>
      </c>
      <c r="C740" s="67" t="s">
        <v>827</v>
      </c>
      <c r="D740" s="24" t="s">
        <v>89</v>
      </c>
      <c r="E740" s="24">
        <v>0.1</v>
      </c>
      <c r="F740" s="24" t="s">
        <v>44</v>
      </c>
      <c r="G740" s="24"/>
      <c r="H740" s="24"/>
      <c r="I740" s="24" t="s">
        <v>38</v>
      </c>
      <c r="J740" s="72" t="s">
        <v>828</v>
      </c>
      <c r="K740" s="89"/>
    </row>
    <row r="741" outlineLevel="1" spans="1:11">
      <c r="A741" s="24"/>
      <c r="B741" s="60" t="str">
        <f t="shared" si="25"/>
        <v>06DB</v>
      </c>
      <c r="C741" s="67" t="s">
        <v>829</v>
      </c>
      <c r="D741" s="24" t="s">
        <v>89</v>
      </c>
      <c r="E741" s="24">
        <v>0.1</v>
      </c>
      <c r="F741" s="24" t="s">
        <v>44</v>
      </c>
      <c r="G741" s="24"/>
      <c r="H741" s="24"/>
      <c r="I741" s="24" t="s">
        <v>38</v>
      </c>
      <c r="J741" s="72" t="s">
        <v>830</v>
      </c>
      <c r="K741" s="89"/>
    </row>
    <row r="742" outlineLevel="1" spans="1:11">
      <c r="A742" s="24"/>
      <c r="B742" s="60" t="str">
        <f t="shared" si="25"/>
        <v>06DC</v>
      </c>
      <c r="C742" s="67" t="s">
        <v>831</v>
      </c>
      <c r="D742" s="24" t="s">
        <v>89</v>
      </c>
      <c r="E742" s="24">
        <v>0.1</v>
      </c>
      <c r="F742" s="24" t="s">
        <v>44</v>
      </c>
      <c r="G742" s="24"/>
      <c r="H742" s="24"/>
      <c r="I742" s="24" t="s">
        <v>38</v>
      </c>
      <c r="J742" s="72" t="s">
        <v>832</v>
      </c>
      <c r="K742" s="89"/>
    </row>
    <row r="743" outlineLevel="1" spans="1:11">
      <c r="A743" s="24"/>
      <c r="B743" s="60" t="str">
        <f t="shared" si="25"/>
        <v>06DD</v>
      </c>
      <c r="C743" s="67" t="s">
        <v>833</v>
      </c>
      <c r="D743" s="24" t="s">
        <v>89</v>
      </c>
      <c r="E743" s="24">
        <v>0.1</v>
      </c>
      <c r="F743" s="24" t="s">
        <v>44</v>
      </c>
      <c r="G743" s="24"/>
      <c r="H743" s="24"/>
      <c r="I743" s="24" t="s">
        <v>38</v>
      </c>
      <c r="J743" s="72" t="s">
        <v>834</v>
      </c>
      <c r="K743" s="89"/>
    </row>
    <row r="744" outlineLevel="1" spans="1:11">
      <c r="A744" s="24"/>
      <c r="B744" s="60" t="str">
        <f t="shared" si="25"/>
        <v>06DE</v>
      </c>
      <c r="C744" s="67" t="s">
        <v>835</v>
      </c>
      <c r="D744" s="24" t="s">
        <v>89</v>
      </c>
      <c r="E744" s="24">
        <v>0.1</v>
      </c>
      <c r="F744" s="24" t="s">
        <v>44</v>
      </c>
      <c r="G744" s="24"/>
      <c r="H744" s="24"/>
      <c r="I744" s="24" t="s">
        <v>38</v>
      </c>
      <c r="J744" s="72" t="s">
        <v>836</v>
      </c>
      <c r="K744" s="89"/>
    </row>
    <row r="745" outlineLevel="1" spans="1:11">
      <c r="A745" s="24"/>
      <c r="B745" s="60" t="str">
        <f t="shared" si="25"/>
        <v>06DF</v>
      </c>
      <c r="C745" s="67" t="s">
        <v>837</v>
      </c>
      <c r="D745" s="24" t="s">
        <v>89</v>
      </c>
      <c r="E745" s="24">
        <v>0.1</v>
      </c>
      <c r="F745" s="24" t="s">
        <v>44</v>
      </c>
      <c r="G745" s="24"/>
      <c r="H745" s="24"/>
      <c r="I745" s="24" t="s">
        <v>38</v>
      </c>
      <c r="J745" s="72" t="s">
        <v>838</v>
      </c>
      <c r="K745" s="89"/>
    </row>
    <row r="746" outlineLevel="1" spans="1:11">
      <c r="A746" s="24"/>
      <c r="B746" s="60" t="str">
        <f t="shared" si="25"/>
        <v>06E0</v>
      </c>
      <c r="C746" s="67" t="s">
        <v>839</v>
      </c>
      <c r="D746" s="24" t="s">
        <v>89</v>
      </c>
      <c r="E746" s="24">
        <v>0.1</v>
      </c>
      <c r="F746" s="24" t="s">
        <v>44</v>
      </c>
      <c r="G746" s="24"/>
      <c r="H746" s="24"/>
      <c r="I746" s="24" t="s">
        <v>38</v>
      </c>
      <c r="J746" s="72" t="s">
        <v>840</v>
      </c>
      <c r="K746" s="89"/>
    </row>
    <row r="747" outlineLevel="1" spans="1:11">
      <c r="A747" s="24"/>
      <c r="B747" s="60" t="str">
        <f t="shared" si="25"/>
        <v>06E1</v>
      </c>
      <c r="C747" s="67" t="s">
        <v>841</v>
      </c>
      <c r="D747" s="24" t="s">
        <v>89</v>
      </c>
      <c r="E747" s="24">
        <v>0.1</v>
      </c>
      <c r="F747" s="24" t="s">
        <v>44</v>
      </c>
      <c r="G747" s="24"/>
      <c r="H747" s="24"/>
      <c r="I747" s="24" t="s">
        <v>38</v>
      </c>
      <c r="J747" s="72" t="s">
        <v>842</v>
      </c>
      <c r="K747" s="89"/>
    </row>
    <row r="748" outlineLevel="1" spans="1:11">
      <c r="A748" s="24"/>
      <c r="B748" s="60" t="str">
        <f t="shared" si="25"/>
        <v>06E2</v>
      </c>
      <c r="C748" s="67" t="s">
        <v>843</v>
      </c>
      <c r="D748" s="24" t="s">
        <v>89</v>
      </c>
      <c r="E748" s="24">
        <v>0.1</v>
      </c>
      <c r="F748" s="24" t="s">
        <v>44</v>
      </c>
      <c r="G748" s="24"/>
      <c r="H748" s="24"/>
      <c r="I748" s="24" t="s">
        <v>38</v>
      </c>
      <c r="J748" s="72" t="s">
        <v>844</v>
      </c>
      <c r="K748" s="89"/>
    </row>
    <row r="749" outlineLevel="1" spans="1:11">
      <c r="A749" s="24"/>
      <c r="B749" s="60" t="str">
        <f t="shared" si="25"/>
        <v>06E3</v>
      </c>
      <c r="C749" s="67"/>
      <c r="D749" s="24"/>
      <c r="E749" s="24"/>
      <c r="F749" s="24"/>
      <c r="G749" s="24"/>
      <c r="H749" s="24"/>
      <c r="I749" s="24"/>
      <c r="J749" s="67"/>
      <c r="K749" s="89"/>
    </row>
    <row r="750" outlineLevel="1" spans="1:11">
      <c r="A750" s="24"/>
      <c r="B750" s="60" t="str">
        <f t="shared" si="25"/>
        <v>06E4</v>
      </c>
      <c r="C750" s="67"/>
      <c r="D750" s="24"/>
      <c r="E750" s="24"/>
      <c r="F750" s="24"/>
      <c r="G750" s="24"/>
      <c r="H750" s="24"/>
      <c r="I750" s="24"/>
      <c r="J750" s="67"/>
      <c r="K750" s="89"/>
    </row>
    <row r="751" outlineLevel="1" spans="1:11">
      <c r="A751" s="24"/>
      <c r="B751" s="60" t="str">
        <f t="shared" si="25"/>
        <v>06E5</v>
      </c>
      <c r="C751" s="67"/>
      <c r="D751" s="24"/>
      <c r="E751" s="24"/>
      <c r="F751" s="24"/>
      <c r="G751" s="24"/>
      <c r="H751" s="24"/>
      <c r="I751" s="24"/>
      <c r="J751" s="67"/>
      <c r="K751" s="89"/>
    </row>
    <row r="752" outlineLevel="1" spans="1:11">
      <c r="A752" s="24"/>
      <c r="B752" s="60" t="str">
        <f t="shared" si="25"/>
        <v>06E6</v>
      </c>
      <c r="C752" s="67"/>
      <c r="D752" s="24"/>
      <c r="E752" s="24"/>
      <c r="F752" s="24"/>
      <c r="G752" s="24"/>
      <c r="H752" s="24"/>
      <c r="I752" s="24"/>
      <c r="J752" s="67"/>
      <c r="K752" s="89"/>
    </row>
    <row r="753" outlineLevel="1" spans="1:11">
      <c r="A753" s="24"/>
      <c r="B753" s="60" t="str">
        <f t="shared" si="25"/>
        <v>06E7</v>
      </c>
      <c r="C753" s="67"/>
      <c r="D753" s="24"/>
      <c r="E753" s="24"/>
      <c r="F753" s="24"/>
      <c r="G753" s="24"/>
      <c r="H753" s="24"/>
      <c r="I753" s="24"/>
      <c r="J753" s="67"/>
      <c r="K753" s="89"/>
    </row>
    <row r="754" outlineLevel="1" spans="1:11">
      <c r="A754" s="24"/>
      <c r="B754" s="60" t="str">
        <f t="shared" si="25"/>
        <v>06E8</v>
      </c>
      <c r="C754" s="67"/>
      <c r="D754" s="24"/>
      <c r="E754" s="24"/>
      <c r="F754" s="24"/>
      <c r="G754" s="24"/>
      <c r="H754" s="24"/>
      <c r="I754" s="24"/>
      <c r="J754" s="67"/>
      <c r="K754" s="89"/>
    </row>
    <row r="755" outlineLevel="1" spans="1:11">
      <c r="A755" s="24"/>
      <c r="B755" s="60" t="str">
        <f t="shared" si="25"/>
        <v>06E9</v>
      </c>
      <c r="C755" s="67"/>
      <c r="D755" s="24"/>
      <c r="E755" s="24"/>
      <c r="F755" s="24"/>
      <c r="G755" s="24"/>
      <c r="H755" s="24"/>
      <c r="I755" s="24"/>
      <c r="J755" s="67"/>
      <c r="K755" s="89"/>
    </row>
    <row r="756" outlineLevel="1" spans="1:11">
      <c r="A756" s="24"/>
      <c r="B756" s="60" t="str">
        <f t="shared" si="25"/>
        <v>06EA</v>
      </c>
      <c r="C756" s="67"/>
      <c r="D756" s="24"/>
      <c r="E756" s="24"/>
      <c r="F756" s="24"/>
      <c r="G756" s="24"/>
      <c r="H756" s="24"/>
      <c r="I756" s="24"/>
      <c r="J756" s="67"/>
      <c r="K756" s="89"/>
    </row>
    <row r="757" outlineLevel="1" spans="1:11">
      <c r="A757" s="24"/>
      <c r="B757" s="60" t="str">
        <f t="shared" si="25"/>
        <v>06EB</v>
      </c>
      <c r="C757" s="67"/>
      <c r="D757" s="24"/>
      <c r="E757" s="24"/>
      <c r="F757" s="24"/>
      <c r="G757" s="24"/>
      <c r="H757" s="24"/>
      <c r="I757" s="24"/>
      <c r="J757" s="67"/>
      <c r="K757" s="89"/>
    </row>
    <row r="758" outlineLevel="1" spans="1:11">
      <c r="A758" s="24"/>
      <c r="B758" s="60" t="str">
        <f t="shared" si="25"/>
        <v>06EC</v>
      </c>
      <c r="C758" s="67"/>
      <c r="D758" s="24"/>
      <c r="E758" s="24"/>
      <c r="F758" s="24"/>
      <c r="G758" s="24"/>
      <c r="H758" s="24"/>
      <c r="I758" s="24"/>
      <c r="J758" s="67"/>
      <c r="K758" s="89"/>
    </row>
    <row r="759" outlineLevel="1" spans="1:11">
      <c r="A759" s="24"/>
      <c r="B759" s="60" t="str">
        <f t="shared" si="25"/>
        <v>06ED</v>
      </c>
      <c r="C759" s="67"/>
      <c r="D759" s="24"/>
      <c r="E759" s="24"/>
      <c r="F759" s="24"/>
      <c r="G759" s="24"/>
      <c r="H759" s="24"/>
      <c r="I759" s="24"/>
      <c r="J759" s="67"/>
      <c r="K759" s="89"/>
    </row>
    <row r="760" outlineLevel="1" spans="1:11">
      <c r="A760" s="24"/>
      <c r="B760" s="60" t="str">
        <f t="shared" si="25"/>
        <v>06EE</v>
      </c>
      <c r="C760" s="67"/>
      <c r="D760" s="24"/>
      <c r="E760" s="24"/>
      <c r="F760" s="24"/>
      <c r="G760" s="24"/>
      <c r="H760" s="24"/>
      <c r="I760" s="24"/>
      <c r="J760" s="67"/>
      <c r="K760" s="89"/>
    </row>
    <row r="761" outlineLevel="1" spans="1:11">
      <c r="A761" s="24"/>
      <c r="B761" s="60" t="str">
        <f t="shared" si="25"/>
        <v>06EF</v>
      </c>
      <c r="C761" s="67"/>
      <c r="D761" s="24"/>
      <c r="E761" s="24"/>
      <c r="F761" s="24"/>
      <c r="G761" s="24"/>
      <c r="H761" s="24"/>
      <c r="I761" s="24"/>
      <c r="J761" s="67"/>
      <c r="K761" s="89"/>
    </row>
    <row r="762" outlineLevel="1" spans="1:11">
      <c r="A762" s="24"/>
      <c r="B762" s="60" t="str">
        <f t="shared" si="25"/>
        <v>06F0</v>
      </c>
      <c r="C762" s="67"/>
      <c r="D762" s="24"/>
      <c r="E762" s="24"/>
      <c r="F762" s="24"/>
      <c r="G762" s="24"/>
      <c r="H762" s="24"/>
      <c r="I762" s="24"/>
      <c r="J762" s="67"/>
      <c r="K762" s="89"/>
    </row>
    <row r="763" outlineLevel="1" spans="1:11">
      <c r="A763" s="24"/>
      <c r="B763" s="60" t="str">
        <f t="shared" si="25"/>
        <v>06F1</v>
      </c>
      <c r="C763" s="67"/>
      <c r="D763" s="24"/>
      <c r="E763" s="24"/>
      <c r="F763" s="24"/>
      <c r="G763" s="24"/>
      <c r="H763" s="24"/>
      <c r="I763" s="24"/>
      <c r="J763" s="67"/>
      <c r="K763" s="89"/>
    </row>
    <row r="764" outlineLevel="1" spans="1:11">
      <c r="A764" s="24"/>
      <c r="B764" s="60" t="str">
        <f t="shared" si="25"/>
        <v>06F2</v>
      </c>
      <c r="C764" s="67"/>
      <c r="D764" s="24"/>
      <c r="E764" s="24"/>
      <c r="F764" s="24"/>
      <c r="G764" s="24"/>
      <c r="H764" s="24"/>
      <c r="I764" s="24"/>
      <c r="J764" s="67"/>
      <c r="K764" s="89"/>
    </row>
    <row r="765" outlineLevel="1" spans="1:11">
      <c r="A765" s="24"/>
      <c r="B765" s="60" t="str">
        <f t="shared" si="25"/>
        <v>06F3</v>
      </c>
      <c r="C765" s="67"/>
      <c r="D765" s="24"/>
      <c r="E765" s="24"/>
      <c r="F765" s="24"/>
      <c r="G765" s="24"/>
      <c r="H765" s="24"/>
      <c r="I765" s="24"/>
      <c r="J765" s="67"/>
      <c r="K765" s="89"/>
    </row>
    <row r="766" outlineLevel="1" spans="1:11">
      <c r="A766" s="24"/>
      <c r="B766" s="60" t="str">
        <f t="shared" si="25"/>
        <v>06F4</v>
      </c>
      <c r="C766" s="67"/>
      <c r="D766" s="24"/>
      <c r="E766" s="24"/>
      <c r="F766" s="24"/>
      <c r="G766" s="24"/>
      <c r="H766" s="24"/>
      <c r="I766" s="24"/>
      <c r="J766" s="67"/>
      <c r="K766" s="89"/>
    </row>
    <row r="767" outlineLevel="1" spans="1:11">
      <c r="A767" s="24"/>
      <c r="B767" s="60" t="str">
        <f t="shared" si="25"/>
        <v>06F5</v>
      </c>
      <c r="C767" s="67"/>
      <c r="D767" s="24"/>
      <c r="E767" s="24"/>
      <c r="F767" s="24"/>
      <c r="G767" s="24"/>
      <c r="H767" s="24"/>
      <c r="I767" s="24"/>
      <c r="J767" s="67"/>
      <c r="K767" s="89"/>
    </row>
    <row r="768" outlineLevel="1" spans="1:11">
      <c r="A768" s="24"/>
      <c r="B768" s="60" t="str">
        <f t="shared" si="25"/>
        <v>06F6</v>
      </c>
      <c r="C768" s="67"/>
      <c r="D768" s="24"/>
      <c r="E768" s="24"/>
      <c r="F768" s="24"/>
      <c r="G768" s="24"/>
      <c r="H768" s="24"/>
      <c r="I768" s="24"/>
      <c r="J768" s="67"/>
      <c r="K768" s="89"/>
    </row>
    <row r="769" outlineLevel="1" spans="1:11">
      <c r="A769" s="24"/>
      <c r="B769" s="60" t="str">
        <f t="shared" si="25"/>
        <v>06F7</v>
      </c>
      <c r="C769" s="67"/>
      <c r="D769" s="24"/>
      <c r="E769" s="24"/>
      <c r="F769" s="24"/>
      <c r="G769" s="24"/>
      <c r="H769" s="24"/>
      <c r="I769" s="24"/>
      <c r="J769" s="67"/>
      <c r="K769" s="89"/>
    </row>
    <row r="770" outlineLevel="1" spans="1:11">
      <c r="A770" s="24"/>
      <c r="B770" s="60" t="str">
        <f t="shared" si="25"/>
        <v>06F8</v>
      </c>
      <c r="C770" s="67"/>
      <c r="D770" s="24"/>
      <c r="E770" s="24"/>
      <c r="F770" s="24"/>
      <c r="G770" s="24"/>
      <c r="H770" s="24"/>
      <c r="I770" s="24"/>
      <c r="J770" s="67"/>
      <c r="K770" s="89"/>
    </row>
    <row r="771" outlineLevel="1" spans="1:11">
      <c r="A771" s="24"/>
      <c r="B771" s="60" t="str">
        <f t="shared" si="25"/>
        <v>06F9</v>
      </c>
      <c r="C771" s="67"/>
      <c r="D771" s="24"/>
      <c r="E771" s="24"/>
      <c r="F771" s="24"/>
      <c r="G771" s="24"/>
      <c r="H771" s="24"/>
      <c r="I771" s="24"/>
      <c r="J771" s="67"/>
      <c r="K771" s="89"/>
    </row>
    <row r="772" outlineLevel="1" spans="1:11">
      <c r="A772" s="24"/>
      <c r="B772" s="60" t="str">
        <f t="shared" si="25"/>
        <v>06FA</v>
      </c>
      <c r="C772" s="67"/>
      <c r="D772" s="24"/>
      <c r="E772" s="24"/>
      <c r="F772" s="24"/>
      <c r="G772" s="24"/>
      <c r="H772" s="24"/>
      <c r="I772" s="24"/>
      <c r="J772" s="67"/>
      <c r="K772" s="89"/>
    </row>
    <row r="773" outlineLevel="1" spans="1:11">
      <c r="A773" s="24"/>
      <c r="B773" s="60" t="str">
        <f t="shared" si="25"/>
        <v>06FB</v>
      </c>
      <c r="C773" s="67"/>
      <c r="D773" s="24"/>
      <c r="E773" s="24"/>
      <c r="F773" s="24"/>
      <c r="G773" s="24"/>
      <c r="H773" s="24"/>
      <c r="I773" s="24"/>
      <c r="J773" s="67"/>
      <c r="K773" s="89"/>
    </row>
    <row r="774" outlineLevel="1" spans="1:11">
      <c r="A774" s="24"/>
      <c r="B774" s="60" t="str">
        <f t="shared" si="25"/>
        <v>06FC</v>
      </c>
      <c r="C774" s="67"/>
      <c r="D774" s="24"/>
      <c r="E774" s="24"/>
      <c r="F774" s="24"/>
      <c r="G774" s="24"/>
      <c r="H774" s="24"/>
      <c r="I774" s="24"/>
      <c r="J774" s="67"/>
      <c r="K774" s="89"/>
    </row>
    <row r="775" outlineLevel="1" spans="1:11">
      <c r="A775" s="24"/>
      <c r="B775" s="60" t="str">
        <f t="shared" si="25"/>
        <v>06FD</v>
      </c>
      <c r="C775" s="67"/>
      <c r="D775" s="24"/>
      <c r="E775" s="24"/>
      <c r="F775" s="24"/>
      <c r="G775" s="24"/>
      <c r="H775" s="24"/>
      <c r="I775" s="24"/>
      <c r="J775" s="67"/>
      <c r="K775" s="89"/>
    </row>
    <row r="776" outlineLevel="1" spans="1:11">
      <c r="A776" s="24"/>
      <c r="B776" s="60" t="str">
        <f t="shared" si="25"/>
        <v>06FE</v>
      </c>
      <c r="C776" s="67"/>
      <c r="D776" s="24"/>
      <c r="E776" s="24"/>
      <c r="F776" s="24"/>
      <c r="G776" s="24"/>
      <c r="H776" s="24"/>
      <c r="I776" s="24"/>
      <c r="J776" s="67"/>
      <c r="K776" s="89"/>
    </row>
    <row r="777" outlineLevel="1" spans="1:11">
      <c r="A777" s="24"/>
      <c r="B777" s="60" t="str">
        <f t="shared" si="25"/>
        <v>06FF</v>
      </c>
      <c r="C777" s="67"/>
      <c r="D777" s="24"/>
      <c r="E777" s="24"/>
      <c r="F777" s="24"/>
      <c r="G777" s="24"/>
      <c r="H777" s="24"/>
      <c r="I777" s="24"/>
      <c r="J777" s="67"/>
      <c r="K777" s="89"/>
    </row>
    <row r="778" spans="1:11">
      <c r="A778" s="24"/>
      <c r="B778" s="60"/>
      <c r="C778" s="67"/>
      <c r="D778" s="24"/>
      <c r="E778" s="24"/>
      <c r="F778" s="24"/>
      <c r="G778" s="24"/>
      <c r="H778" s="24"/>
      <c r="I778" s="24"/>
      <c r="J778" s="67"/>
      <c r="K778" s="89"/>
    </row>
    <row r="779" spans="1:11">
      <c r="A779" s="57" t="s">
        <v>845</v>
      </c>
      <c r="B779" s="58"/>
      <c r="C779" s="58"/>
      <c r="D779" s="58"/>
      <c r="E779" s="58"/>
      <c r="F779" s="58"/>
      <c r="G779" s="58"/>
      <c r="H779" s="58"/>
      <c r="I779" s="58"/>
      <c r="J779" s="58"/>
      <c r="K779" s="58"/>
    </row>
    <row r="780" outlineLevel="1" spans="1:11">
      <c r="A780" s="24"/>
      <c r="B780" s="60" t="str">
        <f>DEC2HEX(1792+ROW()-ROW($B$780),4)</f>
        <v>0700</v>
      </c>
      <c r="C780" s="63" t="s">
        <v>846</v>
      </c>
      <c r="D780" s="59" t="s">
        <v>59</v>
      </c>
      <c r="E780" s="59"/>
      <c r="F780" s="59"/>
      <c r="G780" s="59"/>
      <c r="H780" s="59"/>
      <c r="I780" s="59" t="s">
        <v>38</v>
      </c>
      <c r="J780" s="72" t="s">
        <v>470</v>
      </c>
      <c r="K780" s="89" t="s">
        <v>780</v>
      </c>
    </row>
    <row r="781" outlineLevel="1" spans="1:11">
      <c r="A781" s="24"/>
      <c r="B781" s="60" t="str">
        <f t="shared" ref="B781:B845" si="26">DEC2HEX(1792+ROW()-ROW($B$780),4)</f>
        <v>0701</v>
      </c>
      <c r="C781" s="63"/>
      <c r="D781" s="59"/>
      <c r="E781" s="59"/>
      <c r="F781" s="59"/>
      <c r="G781" s="59"/>
      <c r="H781" s="59"/>
      <c r="I781" s="59"/>
      <c r="J781" s="72"/>
      <c r="K781" s="90"/>
    </row>
    <row r="782" outlineLevel="1" spans="1:11">
      <c r="A782" s="24"/>
      <c r="B782" s="60" t="str">
        <f t="shared" si="26"/>
        <v>0702</v>
      </c>
      <c r="C782" s="63"/>
      <c r="D782" s="59"/>
      <c r="E782" s="59"/>
      <c r="F782" s="59"/>
      <c r="G782" s="59"/>
      <c r="H782" s="59"/>
      <c r="I782" s="59"/>
      <c r="J782" s="72"/>
      <c r="K782" s="90"/>
    </row>
    <row r="783" ht="78" customHeight="1" outlineLevel="1" spans="1:11">
      <c r="A783" s="24"/>
      <c r="B783" s="60" t="str">
        <f t="shared" si="26"/>
        <v>0703</v>
      </c>
      <c r="C783" s="63"/>
      <c r="D783" s="59"/>
      <c r="E783" s="59"/>
      <c r="F783" s="59"/>
      <c r="G783" s="59"/>
      <c r="H783" s="59"/>
      <c r="I783" s="59"/>
      <c r="J783" s="72"/>
      <c r="K783" s="90"/>
    </row>
    <row r="784" outlineLevel="1" spans="1:11">
      <c r="A784" s="24"/>
      <c r="B784" s="60" t="str">
        <f t="shared" si="26"/>
        <v>0704</v>
      </c>
      <c r="C784" s="67" t="s">
        <v>847</v>
      </c>
      <c r="D784" s="24" t="s">
        <v>89</v>
      </c>
      <c r="E784" s="24">
        <v>0.1</v>
      </c>
      <c r="F784" s="24" t="s">
        <v>44</v>
      </c>
      <c r="G784" s="24"/>
      <c r="H784" s="24"/>
      <c r="I784" s="24" t="s">
        <v>38</v>
      </c>
      <c r="J784" s="72" t="s">
        <v>848</v>
      </c>
      <c r="K784" s="89"/>
    </row>
    <row r="785" outlineLevel="1" spans="1:11">
      <c r="A785" s="24"/>
      <c r="B785" s="60" t="str">
        <f t="shared" si="26"/>
        <v>0705</v>
      </c>
      <c r="C785" s="67" t="s">
        <v>849</v>
      </c>
      <c r="D785" s="24" t="s">
        <v>89</v>
      </c>
      <c r="E785" s="24">
        <v>0.01</v>
      </c>
      <c r="F785" s="24" t="s">
        <v>303</v>
      </c>
      <c r="G785" s="24"/>
      <c r="H785" s="24"/>
      <c r="I785" s="24" t="s">
        <v>38</v>
      </c>
      <c r="J785" s="72" t="s">
        <v>850</v>
      </c>
      <c r="K785" s="89"/>
    </row>
    <row r="786" outlineLevel="1" spans="1:11">
      <c r="A786" s="24"/>
      <c r="B786" s="60" t="str">
        <f t="shared" si="26"/>
        <v>0706</v>
      </c>
      <c r="C786" s="67" t="s">
        <v>851</v>
      </c>
      <c r="D786" s="24" t="s">
        <v>89</v>
      </c>
      <c r="E786" s="24">
        <v>0.01</v>
      </c>
      <c r="F786" s="24" t="s">
        <v>303</v>
      </c>
      <c r="G786" s="24"/>
      <c r="H786" s="24"/>
      <c r="I786" s="24" t="s">
        <v>38</v>
      </c>
      <c r="J786" s="72" t="s">
        <v>852</v>
      </c>
      <c r="K786" s="89"/>
    </row>
    <row r="787" outlineLevel="1" spans="1:11">
      <c r="A787" s="24"/>
      <c r="B787" s="60" t="str">
        <f t="shared" si="26"/>
        <v>0707</v>
      </c>
      <c r="C787" s="67" t="s">
        <v>853</v>
      </c>
      <c r="D787" s="24" t="s">
        <v>89</v>
      </c>
      <c r="E787" s="24">
        <v>0.1</v>
      </c>
      <c r="F787" s="24" t="s">
        <v>44</v>
      </c>
      <c r="G787" s="24"/>
      <c r="H787" s="24"/>
      <c r="I787" s="24" t="s">
        <v>38</v>
      </c>
      <c r="J787" s="72" t="s">
        <v>854</v>
      </c>
      <c r="K787" s="89"/>
    </row>
    <row r="788" outlineLevel="1" spans="1:11">
      <c r="A788" s="24"/>
      <c r="B788" s="60" t="str">
        <f t="shared" si="26"/>
        <v>0708</v>
      </c>
      <c r="C788" s="67" t="s">
        <v>855</v>
      </c>
      <c r="D788" s="24" t="s">
        <v>89</v>
      </c>
      <c r="E788" s="24">
        <v>0.01</v>
      </c>
      <c r="F788" s="24" t="s">
        <v>303</v>
      </c>
      <c r="G788" s="24"/>
      <c r="H788" s="24"/>
      <c r="I788" s="24" t="s">
        <v>38</v>
      </c>
      <c r="J788" s="72" t="s">
        <v>856</v>
      </c>
      <c r="K788" s="89"/>
    </row>
    <row r="789" outlineLevel="1" spans="1:11">
      <c r="A789" s="24"/>
      <c r="B789" s="60" t="str">
        <f t="shared" si="26"/>
        <v>0709</v>
      </c>
      <c r="C789" s="67" t="s">
        <v>857</v>
      </c>
      <c r="D789" s="24" t="s">
        <v>89</v>
      </c>
      <c r="E789" s="24">
        <v>0.01</v>
      </c>
      <c r="F789" s="24" t="s">
        <v>303</v>
      </c>
      <c r="G789" s="24"/>
      <c r="H789" s="24"/>
      <c r="I789" s="24" t="s">
        <v>38</v>
      </c>
      <c r="J789" s="72" t="s">
        <v>858</v>
      </c>
      <c r="K789" s="89"/>
    </row>
    <row r="790" outlineLevel="1" spans="1:11">
      <c r="A790" s="24"/>
      <c r="B790" s="60" t="str">
        <f t="shared" si="26"/>
        <v>070A</v>
      </c>
      <c r="C790" s="67" t="s">
        <v>859</v>
      </c>
      <c r="D790" s="24" t="s">
        <v>89</v>
      </c>
      <c r="E790" s="24">
        <v>0.1</v>
      </c>
      <c r="F790" s="24" t="s">
        <v>44</v>
      </c>
      <c r="G790" s="24"/>
      <c r="H790" s="24"/>
      <c r="I790" s="24" t="s">
        <v>38</v>
      </c>
      <c r="J790" s="72" t="s">
        <v>860</v>
      </c>
      <c r="K790" s="89"/>
    </row>
    <row r="791" outlineLevel="1" spans="1:11">
      <c r="A791" s="24"/>
      <c r="B791" s="60" t="str">
        <f t="shared" si="26"/>
        <v>070B</v>
      </c>
      <c r="C791" s="67" t="s">
        <v>861</v>
      </c>
      <c r="D791" s="24" t="s">
        <v>89</v>
      </c>
      <c r="E791" s="24">
        <v>0.01</v>
      </c>
      <c r="F791" s="24" t="s">
        <v>303</v>
      </c>
      <c r="G791" s="24"/>
      <c r="H791" s="24"/>
      <c r="I791" s="24" t="s">
        <v>38</v>
      </c>
      <c r="J791" s="72" t="s">
        <v>862</v>
      </c>
      <c r="K791" s="89"/>
    </row>
    <row r="792" outlineLevel="1" spans="1:11">
      <c r="A792" s="24"/>
      <c r="B792" s="60" t="str">
        <f t="shared" si="26"/>
        <v>070C</v>
      </c>
      <c r="C792" s="67" t="s">
        <v>863</v>
      </c>
      <c r="D792" s="24" t="s">
        <v>89</v>
      </c>
      <c r="E792" s="24">
        <v>0.01</v>
      </c>
      <c r="F792" s="24" t="s">
        <v>303</v>
      </c>
      <c r="G792" s="24"/>
      <c r="H792" s="24"/>
      <c r="I792" s="24" t="s">
        <v>38</v>
      </c>
      <c r="J792" s="72" t="s">
        <v>864</v>
      </c>
      <c r="K792" s="89"/>
    </row>
    <row r="793" outlineLevel="1" spans="1:11">
      <c r="A793" s="24"/>
      <c r="B793" s="60" t="str">
        <f t="shared" si="26"/>
        <v>070D</v>
      </c>
      <c r="C793" s="67" t="s">
        <v>865</v>
      </c>
      <c r="D793" s="24" t="s">
        <v>89</v>
      </c>
      <c r="E793" s="24">
        <v>0.1</v>
      </c>
      <c r="F793" s="24" t="s">
        <v>44</v>
      </c>
      <c r="G793" s="24"/>
      <c r="H793" s="24"/>
      <c r="I793" s="24" t="s">
        <v>38</v>
      </c>
      <c r="J793" s="72" t="s">
        <v>866</v>
      </c>
      <c r="K793" s="89"/>
    </row>
    <row r="794" outlineLevel="1" spans="1:11">
      <c r="A794" s="24"/>
      <c r="B794" s="60" t="str">
        <f t="shared" si="26"/>
        <v>070E</v>
      </c>
      <c r="C794" s="67" t="s">
        <v>867</v>
      </c>
      <c r="D794" s="24" t="s">
        <v>89</v>
      </c>
      <c r="E794" s="24">
        <v>0.01</v>
      </c>
      <c r="F794" s="24" t="s">
        <v>303</v>
      </c>
      <c r="G794" s="24"/>
      <c r="H794" s="24"/>
      <c r="I794" s="24" t="s">
        <v>38</v>
      </c>
      <c r="J794" s="72" t="s">
        <v>868</v>
      </c>
      <c r="K794" s="89"/>
    </row>
    <row r="795" outlineLevel="1" spans="1:11">
      <c r="A795" s="24"/>
      <c r="B795" s="60" t="str">
        <f t="shared" si="26"/>
        <v>070F</v>
      </c>
      <c r="C795" s="67" t="s">
        <v>869</v>
      </c>
      <c r="D795" s="24" t="s">
        <v>89</v>
      </c>
      <c r="E795" s="24">
        <v>0.01</v>
      </c>
      <c r="F795" s="24" t="s">
        <v>303</v>
      </c>
      <c r="G795" s="24"/>
      <c r="H795" s="24"/>
      <c r="I795" s="24" t="s">
        <v>38</v>
      </c>
      <c r="J795" s="72" t="s">
        <v>870</v>
      </c>
      <c r="K795" s="89"/>
    </row>
    <row r="796" outlineLevel="1" spans="1:11">
      <c r="A796" s="24"/>
      <c r="B796" s="60" t="str">
        <f t="shared" si="26"/>
        <v>0710</v>
      </c>
      <c r="C796" s="67" t="s">
        <v>871</v>
      </c>
      <c r="D796" s="24" t="s">
        <v>89</v>
      </c>
      <c r="E796" s="24">
        <v>0.1</v>
      </c>
      <c r="F796" s="24" t="s">
        <v>44</v>
      </c>
      <c r="G796" s="24"/>
      <c r="H796" s="24"/>
      <c r="I796" s="24" t="s">
        <v>38</v>
      </c>
      <c r="J796" s="72" t="s">
        <v>872</v>
      </c>
      <c r="K796" s="89"/>
    </row>
    <row r="797" outlineLevel="1" spans="1:11">
      <c r="A797" s="24"/>
      <c r="B797" s="60" t="str">
        <f t="shared" si="26"/>
        <v>0711</v>
      </c>
      <c r="C797" s="67" t="s">
        <v>873</v>
      </c>
      <c r="D797" s="24" t="s">
        <v>89</v>
      </c>
      <c r="E797" s="24">
        <v>0.01</v>
      </c>
      <c r="F797" s="24" t="s">
        <v>303</v>
      </c>
      <c r="G797" s="24"/>
      <c r="H797" s="24"/>
      <c r="I797" s="24" t="s">
        <v>38</v>
      </c>
      <c r="J797" s="72" t="s">
        <v>874</v>
      </c>
      <c r="K797" s="89"/>
    </row>
    <row r="798" outlineLevel="1" spans="1:11">
      <c r="A798" s="24"/>
      <c r="B798" s="60" t="str">
        <f t="shared" si="26"/>
        <v>0712</v>
      </c>
      <c r="C798" s="67" t="s">
        <v>875</v>
      </c>
      <c r="D798" s="24" t="s">
        <v>89</v>
      </c>
      <c r="E798" s="24">
        <v>0.01</v>
      </c>
      <c r="F798" s="24" t="s">
        <v>303</v>
      </c>
      <c r="G798" s="24"/>
      <c r="H798" s="24"/>
      <c r="I798" s="24" t="s">
        <v>38</v>
      </c>
      <c r="J798" s="72" t="s">
        <v>876</v>
      </c>
      <c r="K798" s="89"/>
    </row>
    <row r="799" outlineLevel="1" spans="1:11">
      <c r="A799" s="24"/>
      <c r="B799" s="60" t="str">
        <f t="shared" si="26"/>
        <v>0713</v>
      </c>
      <c r="C799" s="67" t="s">
        <v>877</v>
      </c>
      <c r="D799" s="24" t="s">
        <v>89</v>
      </c>
      <c r="E799" s="24">
        <v>0.1</v>
      </c>
      <c r="F799" s="24" t="s">
        <v>44</v>
      </c>
      <c r="G799" s="24"/>
      <c r="H799" s="24"/>
      <c r="I799" s="24" t="s">
        <v>38</v>
      </c>
      <c r="J799" s="72" t="s">
        <v>878</v>
      </c>
      <c r="K799" s="89"/>
    </row>
    <row r="800" outlineLevel="1" spans="1:11">
      <c r="A800" s="24"/>
      <c r="B800" s="60" t="str">
        <f t="shared" si="26"/>
        <v>0714</v>
      </c>
      <c r="C800" s="67" t="s">
        <v>879</v>
      </c>
      <c r="D800" s="24" t="s">
        <v>89</v>
      </c>
      <c r="E800" s="24">
        <v>0.01</v>
      </c>
      <c r="F800" s="24" t="s">
        <v>303</v>
      </c>
      <c r="G800" s="24"/>
      <c r="H800" s="24"/>
      <c r="I800" s="24" t="s">
        <v>38</v>
      </c>
      <c r="J800" s="72" t="s">
        <v>880</v>
      </c>
      <c r="K800" s="89"/>
    </row>
    <row r="801" outlineLevel="1" spans="1:11">
      <c r="A801" s="24"/>
      <c r="B801" s="60" t="str">
        <f t="shared" si="26"/>
        <v>0715</v>
      </c>
      <c r="C801" s="67" t="s">
        <v>881</v>
      </c>
      <c r="D801" s="24" t="s">
        <v>89</v>
      </c>
      <c r="E801" s="24">
        <v>0.01</v>
      </c>
      <c r="F801" s="24" t="s">
        <v>303</v>
      </c>
      <c r="G801" s="24"/>
      <c r="H801" s="24"/>
      <c r="I801" s="24" t="s">
        <v>38</v>
      </c>
      <c r="J801" s="72" t="s">
        <v>882</v>
      </c>
      <c r="K801" s="89"/>
    </row>
    <row r="802" outlineLevel="1" spans="1:11">
      <c r="A802" s="24"/>
      <c r="B802" s="60" t="str">
        <f t="shared" si="26"/>
        <v>0716</v>
      </c>
      <c r="C802" s="67" t="s">
        <v>883</v>
      </c>
      <c r="D802" s="24" t="s">
        <v>89</v>
      </c>
      <c r="E802" s="24">
        <v>0.1</v>
      </c>
      <c r="F802" s="24" t="s">
        <v>44</v>
      </c>
      <c r="G802" s="24"/>
      <c r="H802" s="24"/>
      <c r="I802" s="24" t="s">
        <v>38</v>
      </c>
      <c r="J802" s="72" t="s">
        <v>884</v>
      </c>
      <c r="K802" s="89"/>
    </row>
    <row r="803" outlineLevel="1" spans="1:11">
      <c r="A803" s="24"/>
      <c r="B803" s="60" t="str">
        <f t="shared" si="26"/>
        <v>0717</v>
      </c>
      <c r="C803" s="67" t="s">
        <v>885</v>
      </c>
      <c r="D803" s="24" t="s">
        <v>89</v>
      </c>
      <c r="E803" s="24">
        <v>0.01</v>
      </c>
      <c r="F803" s="24" t="s">
        <v>303</v>
      </c>
      <c r="G803" s="24"/>
      <c r="H803" s="24"/>
      <c r="I803" s="24" t="s">
        <v>38</v>
      </c>
      <c r="J803" s="72" t="s">
        <v>886</v>
      </c>
      <c r="K803" s="89"/>
    </row>
    <row r="804" outlineLevel="1" spans="1:11">
      <c r="A804" s="24"/>
      <c r="B804" s="60" t="str">
        <f t="shared" si="26"/>
        <v>0718</v>
      </c>
      <c r="C804" s="67" t="s">
        <v>887</v>
      </c>
      <c r="D804" s="24" t="s">
        <v>89</v>
      </c>
      <c r="E804" s="24">
        <v>0.01</v>
      </c>
      <c r="F804" s="24" t="s">
        <v>303</v>
      </c>
      <c r="G804" s="24"/>
      <c r="H804" s="24"/>
      <c r="I804" s="24" t="s">
        <v>38</v>
      </c>
      <c r="J804" s="72" t="s">
        <v>888</v>
      </c>
      <c r="K804" s="89"/>
    </row>
    <row r="805" outlineLevel="1" spans="1:11">
      <c r="A805" s="24"/>
      <c r="B805" s="60" t="str">
        <f t="shared" si="26"/>
        <v>0719</v>
      </c>
      <c r="C805" s="67" t="s">
        <v>889</v>
      </c>
      <c r="D805" s="24" t="s">
        <v>89</v>
      </c>
      <c r="E805" s="24">
        <v>0.1</v>
      </c>
      <c r="F805" s="24" t="s">
        <v>44</v>
      </c>
      <c r="G805" s="24"/>
      <c r="H805" s="24"/>
      <c r="I805" s="24" t="s">
        <v>38</v>
      </c>
      <c r="J805" s="72" t="s">
        <v>890</v>
      </c>
      <c r="K805" s="89"/>
    </row>
    <row r="806" outlineLevel="1" spans="1:11">
      <c r="A806" s="24"/>
      <c r="B806" s="60" t="str">
        <f t="shared" si="26"/>
        <v>071A</v>
      </c>
      <c r="C806" s="67" t="s">
        <v>891</v>
      </c>
      <c r="D806" s="24" t="s">
        <v>89</v>
      </c>
      <c r="E806" s="24">
        <v>0.01</v>
      </c>
      <c r="F806" s="24" t="s">
        <v>303</v>
      </c>
      <c r="G806" s="24"/>
      <c r="H806" s="24"/>
      <c r="I806" s="24" t="s">
        <v>38</v>
      </c>
      <c r="J806" s="72" t="s">
        <v>892</v>
      </c>
      <c r="K806" s="89"/>
    </row>
    <row r="807" outlineLevel="1" spans="1:11">
      <c r="A807" s="24"/>
      <c r="B807" s="60" t="str">
        <f t="shared" si="26"/>
        <v>071B</v>
      </c>
      <c r="C807" s="67" t="s">
        <v>893</v>
      </c>
      <c r="D807" s="24" t="s">
        <v>89</v>
      </c>
      <c r="E807" s="24">
        <v>0.01</v>
      </c>
      <c r="F807" s="24" t="s">
        <v>303</v>
      </c>
      <c r="G807" s="24"/>
      <c r="H807" s="24"/>
      <c r="I807" s="24" t="s">
        <v>38</v>
      </c>
      <c r="J807" s="72" t="s">
        <v>894</v>
      </c>
      <c r="K807" s="89"/>
    </row>
    <row r="808" outlineLevel="1" spans="1:11">
      <c r="A808" s="24"/>
      <c r="B808" s="60" t="str">
        <f t="shared" si="26"/>
        <v>071C</v>
      </c>
      <c r="C808" s="67" t="s">
        <v>895</v>
      </c>
      <c r="D808" s="24" t="s">
        <v>89</v>
      </c>
      <c r="E808" s="24">
        <v>0.1</v>
      </c>
      <c r="F808" s="24" t="s">
        <v>44</v>
      </c>
      <c r="G808" s="24"/>
      <c r="H808" s="24"/>
      <c r="I808" s="24" t="s">
        <v>38</v>
      </c>
      <c r="J808" s="72" t="s">
        <v>896</v>
      </c>
      <c r="K808" s="89"/>
    </row>
    <row r="809" outlineLevel="1" spans="1:11">
      <c r="A809" s="24"/>
      <c r="B809" s="60" t="str">
        <f t="shared" si="26"/>
        <v>071D</v>
      </c>
      <c r="C809" s="67" t="s">
        <v>897</v>
      </c>
      <c r="D809" s="24" t="s">
        <v>89</v>
      </c>
      <c r="E809" s="24">
        <v>0.01</v>
      </c>
      <c r="F809" s="24" t="s">
        <v>303</v>
      </c>
      <c r="G809" s="24"/>
      <c r="H809" s="24"/>
      <c r="I809" s="24" t="s">
        <v>38</v>
      </c>
      <c r="J809" s="72" t="s">
        <v>898</v>
      </c>
      <c r="K809" s="89"/>
    </row>
    <row r="810" outlineLevel="1" spans="1:11">
      <c r="A810" s="24"/>
      <c r="B810" s="60" t="str">
        <f t="shared" si="26"/>
        <v>071E</v>
      </c>
      <c r="C810" s="67" t="s">
        <v>899</v>
      </c>
      <c r="D810" s="24" t="s">
        <v>89</v>
      </c>
      <c r="E810" s="24">
        <v>0.01</v>
      </c>
      <c r="F810" s="24" t="s">
        <v>303</v>
      </c>
      <c r="G810" s="24"/>
      <c r="H810" s="24"/>
      <c r="I810" s="24" t="s">
        <v>38</v>
      </c>
      <c r="J810" s="72" t="s">
        <v>900</v>
      </c>
      <c r="K810" s="89"/>
    </row>
    <row r="811" outlineLevel="1" spans="1:11">
      <c r="A811" s="24"/>
      <c r="B811" s="60" t="str">
        <f t="shared" si="26"/>
        <v>071F</v>
      </c>
      <c r="C811" s="67" t="s">
        <v>901</v>
      </c>
      <c r="D811" s="24" t="s">
        <v>89</v>
      </c>
      <c r="E811" s="24">
        <v>0.1</v>
      </c>
      <c r="F811" s="24" t="s">
        <v>44</v>
      </c>
      <c r="G811" s="24"/>
      <c r="H811" s="24"/>
      <c r="I811" s="24" t="s">
        <v>38</v>
      </c>
      <c r="J811" s="72" t="s">
        <v>902</v>
      </c>
      <c r="K811" s="89"/>
    </row>
    <row r="812" outlineLevel="1" spans="1:11">
      <c r="A812" s="24"/>
      <c r="B812" s="60" t="str">
        <f t="shared" si="26"/>
        <v>0720</v>
      </c>
      <c r="C812" s="67" t="s">
        <v>903</v>
      </c>
      <c r="D812" s="24" t="s">
        <v>89</v>
      </c>
      <c r="E812" s="24">
        <v>0.01</v>
      </c>
      <c r="F812" s="24" t="s">
        <v>303</v>
      </c>
      <c r="G812" s="24"/>
      <c r="H812" s="24"/>
      <c r="I812" s="24" t="s">
        <v>38</v>
      </c>
      <c r="J812" s="72" t="s">
        <v>904</v>
      </c>
      <c r="K812" s="89"/>
    </row>
    <row r="813" outlineLevel="1" spans="1:11">
      <c r="A813" s="24"/>
      <c r="B813" s="60" t="str">
        <f t="shared" si="26"/>
        <v>0721</v>
      </c>
      <c r="C813" s="67" t="s">
        <v>905</v>
      </c>
      <c r="D813" s="24" t="s">
        <v>89</v>
      </c>
      <c r="E813" s="24">
        <v>0.01</v>
      </c>
      <c r="F813" s="24" t="s">
        <v>303</v>
      </c>
      <c r="G813" s="24"/>
      <c r="H813" s="24"/>
      <c r="I813" s="24" t="s">
        <v>38</v>
      </c>
      <c r="J813" s="72" t="s">
        <v>906</v>
      </c>
      <c r="K813" s="89"/>
    </row>
    <row r="814" outlineLevel="1" spans="1:11">
      <c r="A814" s="24"/>
      <c r="B814" s="60" t="str">
        <f t="shared" si="26"/>
        <v>0722</v>
      </c>
      <c r="C814" s="67" t="s">
        <v>907</v>
      </c>
      <c r="D814" s="24" t="s">
        <v>89</v>
      </c>
      <c r="E814" s="24">
        <v>0.1</v>
      </c>
      <c r="F814" s="24" t="s">
        <v>44</v>
      </c>
      <c r="G814" s="24"/>
      <c r="H814" s="24"/>
      <c r="I814" s="24" t="s">
        <v>38</v>
      </c>
      <c r="J814" s="72" t="s">
        <v>908</v>
      </c>
      <c r="K814" s="89"/>
    </row>
    <row r="815" outlineLevel="1" spans="1:11">
      <c r="A815" s="24"/>
      <c r="B815" s="60" t="str">
        <f t="shared" si="26"/>
        <v>0723</v>
      </c>
      <c r="C815" s="67" t="s">
        <v>909</v>
      </c>
      <c r="D815" s="24" t="s">
        <v>89</v>
      </c>
      <c r="E815" s="24">
        <v>0.01</v>
      </c>
      <c r="F815" s="24" t="s">
        <v>303</v>
      </c>
      <c r="G815" s="24"/>
      <c r="H815" s="24"/>
      <c r="I815" s="24" t="s">
        <v>38</v>
      </c>
      <c r="J815" s="72" t="s">
        <v>910</v>
      </c>
      <c r="K815" s="89"/>
    </row>
    <row r="816" outlineLevel="1" spans="1:11">
      <c r="A816" s="24"/>
      <c r="B816" s="60" t="str">
        <f t="shared" si="26"/>
        <v>0724</v>
      </c>
      <c r="C816" s="67" t="s">
        <v>911</v>
      </c>
      <c r="D816" s="24" t="s">
        <v>89</v>
      </c>
      <c r="E816" s="24">
        <v>0.01</v>
      </c>
      <c r="F816" s="24" t="s">
        <v>303</v>
      </c>
      <c r="G816" s="24"/>
      <c r="H816" s="24"/>
      <c r="I816" s="24" t="s">
        <v>38</v>
      </c>
      <c r="J816" s="72" t="s">
        <v>912</v>
      </c>
      <c r="K816" s="89"/>
    </row>
    <row r="817" outlineLevel="1" spans="1:11">
      <c r="A817" s="24"/>
      <c r="B817" s="60" t="str">
        <f t="shared" si="26"/>
        <v>0725</v>
      </c>
      <c r="C817" s="67" t="s">
        <v>913</v>
      </c>
      <c r="D817" s="24" t="s">
        <v>89</v>
      </c>
      <c r="E817" s="24">
        <v>0.1</v>
      </c>
      <c r="F817" s="24" t="s">
        <v>44</v>
      </c>
      <c r="G817" s="24"/>
      <c r="H817" s="24"/>
      <c r="I817" s="24" t="s">
        <v>38</v>
      </c>
      <c r="J817" s="72" t="s">
        <v>914</v>
      </c>
      <c r="K817" s="89"/>
    </row>
    <row r="818" outlineLevel="1" spans="1:11">
      <c r="A818" s="24"/>
      <c r="B818" s="60" t="str">
        <f t="shared" si="26"/>
        <v>0726</v>
      </c>
      <c r="C818" s="67" t="s">
        <v>915</v>
      </c>
      <c r="D818" s="24" t="s">
        <v>89</v>
      </c>
      <c r="E818" s="24">
        <v>0.01</v>
      </c>
      <c r="F818" s="24" t="s">
        <v>303</v>
      </c>
      <c r="G818" s="24"/>
      <c r="H818" s="24"/>
      <c r="I818" s="24" t="s">
        <v>38</v>
      </c>
      <c r="J818" s="72" t="s">
        <v>916</v>
      </c>
      <c r="K818" s="89"/>
    </row>
    <row r="819" outlineLevel="1" spans="1:11">
      <c r="A819" s="24"/>
      <c r="B819" s="60" t="str">
        <f t="shared" si="26"/>
        <v>0727</v>
      </c>
      <c r="C819" s="67" t="s">
        <v>917</v>
      </c>
      <c r="D819" s="24" t="s">
        <v>89</v>
      </c>
      <c r="E819" s="24">
        <v>0.01</v>
      </c>
      <c r="F819" s="24" t="s">
        <v>303</v>
      </c>
      <c r="G819" s="24"/>
      <c r="H819" s="24"/>
      <c r="I819" s="24" t="s">
        <v>38</v>
      </c>
      <c r="J819" s="72" t="s">
        <v>918</v>
      </c>
      <c r="K819" s="89"/>
    </row>
    <row r="820" outlineLevel="1" spans="1:11">
      <c r="A820" s="24"/>
      <c r="B820" s="60" t="str">
        <f t="shared" si="26"/>
        <v>0728</v>
      </c>
      <c r="C820" s="67" t="s">
        <v>919</v>
      </c>
      <c r="D820" s="24" t="s">
        <v>89</v>
      </c>
      <c r="E820" s="24">
        <v>0.1</v>
      </c>
      <c r="F820" s="24" t="s">
        <v>44</v>
      </c>
      <c r="G820" s="24"/>
      <c r="H820" s="24"/>
      <c r="I820" s="24" t="s">
        <v>38</v>
      </c>
      <c r="J820" s="72" t="s">
        <v>920</v>
      </c>
      <c r="K820" s="89"/>
    </row>
    <row r="821" outlineLevel="1" spans="1:11">
      <c r="A821" s="24"/>
      <c r="B821" s="60" t="str">
        <f t="shared" si="26"/>
        <v>0729</v>
      </c>
      <c r="C821" s="67" t="s">
        <v>921</v>
      </c>
      <c r="D821" s="24" t="s">
        <v>89</v>
      </c>
      <c r="E821" s="24">
        <v>0.01</v>
      </c>
      <c r="F821" s="24" t="s">
        <v>303</v>
      </c>
      <c r="G821" s="24"/>
      <c r="H821" s="24"/>
      <c r="I821" s="24" t="s">
        <v>38</v>
      </c>
      <c r="J821" s="72" t="s">
        <v>922</v>
      </c>
      <c r="K821" s="89"/>
    </row>
    <row r="822" outlineLevel="1" spans="1:11">
      <c r="A822" s="24"/>
      <c r="B822" s="60" t="str">
        <f t="shared" si="26"/>
        <v>072A</v>
      </c>
      <c r="C822" s="67" t="s">
        <v>923</v>
      </c>
      <c r="D822" s="24" t="s">
        <v>89</v>
      </c>
      <c r="E822" s="24">
        <v>0.01</v>
      </c>
      <c r="F822" s="24" t="s">
        <v>303</v>
      </c>
      <c r="G822" s="24"/>
      <c r="H822" s="24"/>
      <c r="I822" s="24" t="s">
        <v>38</v>
      </c>
      <c r="J822" s="72" t="s">
        <v>924</v>
      </c>
      <c r="K822" s="89"/>
    </row>
    <row r="823" outlineLevel="1" spans="1:11">
      <c r="A823" s="24"/>
      <c r="B823" s="60" t="str">
        <f t="shared" si="26"/>
        <v>072B</v>
      </c>
      <c r="C823" s="67" t="s">
        <v>925</v>
      </c>
      <c r="D823" s="24" t="s">
        <v>89</v>
      </c>
      <c r="E823" s="24">
        <v>0.1</v>
      </c>
      <c r="F823" s="24" t="s">
        <v>44</v>
      </c>
      <c r="G823" s="24"/>
      <c r="H823" s="24"/>
      <c r="I823" s="24" t="s">
        <v>38</v>
      </c>
      <c r="J823" s="72" t="s">
        <v>926</v>
      </c>
      <c r="K823" s="89"/>
    </row>
    <row r="824" outlineLevel="1" spans="1:11">
      <c r="A824" s="24"/>
      <c r="B824" s="60" t="str">
        <f t="shared" si="26"/>
        <v>072C</v>
      </c>
      <c r="C824" s="67" t="s">
        <v>927</v>
      </c>
      <c r="D824" s="24" t="s">
        <v>89</v>
      </c>
      <c r="E824" s="24">
        <v>0.01</v>
      </c>
      <c r="F824" s="24" t="s">
        <v>303</v>
      </c>
      <c r="G824" s="24"/>
      <c r="H824" s="24"/>
      <c r="I824" s="24" t="s">
        <v>38</v>
      </c>
      <c r="J824" s="72" t="s">
        <v>928</v>
      </c>
      <c r="K824" s="89"/>
    </row>
    <row r="825" outlineLevel="1" spans="1:11">
      <c r="A825" s="24"/>
      <c r="B825" s="60" t="str">
        <f t="shared" si="26"/>
        <v>072D</v>
      </c>
      <c r="C825" s="67" t="s">
        <v>929</v>
      </c>
      <c r="D825" s="24" t="s">
        <v>89</v>
      </c>
      <c r="E825" s="24">
        <v>0.01</v>
      </c>
      <c r="F825" s="24" t="s">
        <v>303</v>
      </c>
      <c r="G825" s="24"/>
      <c r="H825" s="24"/>
      <c r="I825" s="24" t="s">
        <v>38</v>
      </c>
      <c r="J825" s="72" t="s">
        <v>930</v>
      </c>
      <c r="K825" s="89"/>
    </row>
    <row r="826" outlineLevel="1" spans="1:11">
      <c r="A826" s="24"/>
      <c r="B826" s="60" t="str">
        <f t="shared" si="26"/>
        <v>072E</v>
      </c>
      <c r="C826" s="67" t="s">
        <v>931</v>
      </c>
      <c r="D826" s="24" t="s">
        <v>89</v>
      </c>
      <c r="E826" s="24">
        <v>0.1</v>
      </c>
      <c r="F826" s="24" t="s">
        <v>44</v>
      </c>
      <c r="G826" s="24"/>
      <c r="H826" s="24"/>
      <c r="I826" s="24" t="s">
        <v>38</v>
      </c>
      <c r="J826" s="72" t="s">
        <v>932</v>
      </c>
      <c r="K826" s="89"/>
    </row>
    <row r="827" outlineLevel="1" spans="1:11">
      <c r="A827" s="24"/>
      <c r="B827" s="60" t="str">
        <f t="shared" si="26"/>
        <v>072F</v>
      </c>
      <c r="C827" s="67" t="s">
        <v>933</v>
      </c>
      <c r="D827" s="24" t="s">
        <v>89</v>
      </c>
      <c r="E827" s="24">
        <v>0.01</v>
      </c>
      <c r="F827" s="24" t="s">
        <v>303</v>
      </c>
      <c r="G827" s="24"/>
      <c r="H827" s="24"/>
      <c r="I827" s="24" t="s">
        <v>38</v>
      </c>
      <c r="J827" s="72" t="s">
        <v>934</v>
      </c>
      <c r="K827" s="89"/>
    </row>
    <row r="828" outlineLevel="1" spans="1:11">
      <c r="A828" s="24"/>
      <c r="B828" s="60" t="str">
        <f t="shared" si="26"/>
        <v>0730</v>
      </c>
      <c r="C828" s="67" t="s">
        <v>935</v>
      </c>
      <c r="D828" s="24" t="s">
        <v>89</v>
      </c>
      <c r="E828" s="24">
        <v>0.01</v>
      </c>
      <c r="F828" s="24" t="s">
        <v>303</v>
      </c>
      <c r="G828" s="24"/>
      <c r="H828" s="24"/>
      <c r="I828" s="24" t="s">
        <v>38</v>
      </c>
      <c r="J828" s="72" t="s">
        <v>936</v>
      </c>
      <c r="K828" s="89"/>
    </row>
    <row r="829" outlineLevel="1" spans="1:11">
      <c r="A829" s="24"/>
      <c r="B829" s="60" t="str">
        <f t="shared" si="26"/>
        <v>0731</v>
      </c>
      <c r="C829" s="67" t="s">
        <v>937</v>
      </c>
      <c r="D829" s="24" t="s">
        <v>89</v>
      </c>
      <c r="E829" s="24">
        <v>0.1</v>
      </c>
      <c r="F829" s="24" t="s">
        <v>44</v>
      </c>
      <c r="G829" s="24"/>
      <c r="H829" s="24"/>
      <c r="I829" s="24" t="s">
        <v>38</v>
      </c>
      <c r="J829" s="72" t="s">
        <v>938</v>
      </c>
      <c r="K829" s="89"/>
    </row>
    <row r="830" outlineLevel="1" spans="1:11">
      <c r="A830" s="24"/>
      <c r="B830" s="60" t="str">
        <f t="shared" si="26"/>
        <v>0732</v>
      </c>
      <c r="C830" s="67" t="s">
        <v>939</v>
      </c>
      <c r="D830" s="24" t="s">
        <v>89</v>
      </c>
      <c r="E830" s="24">
        <v>0.01</v>
      </c>
      <c r="F830" s="24" t="s">
        <v>303</v>
      </c>
      <c r="G830" s="24"/>
      <c r="H830" s="24"/>
      <c r="I830" s="24" t="s">
        <v>38</v>
      </c>
      <c r="J830" s="72" t="s">
        <v>940</v>
      </c>
      <c r="K830" s="89"/>
    </row>
    <row r="831" outlineLevel="1" spans="1:11">
      <c r="A831" s="24"/>
      <c r="B831" s="60" t="str">
        <f t="shared" si="26"/>
        <v>0733</v>
      </c>
      <c r="C831" s="67" t="s">
        <v>941</v>
      </c>
      <c r="D831" s="24" t="s">
        <v>89</v>
      </c>
      <c r="E831" s="24">
        <v>0.01</v>
      </c>
      <c r="F831" s="24" t="s">
        <v>303</v>
      </c>
      <c r="G831" s="24"/>
      <c r="H831" s="24"/>
      <c r="I831" s="24" t="s">
        <v>38</v>
      </c>
      <c r="J831" s="72" t="s">
        <v>942</v>
      </c>
      <c r="K831" s="89"/>
    </row>
    <row r="832" outlineLevel="1" spans="1:11">
      <c r="A832" s="24"/>
      <c r="B832" s="60" t="str">
        <f t="shared" si="26"/>
        <v>0734</v>
      </c>
      <c r="C832" s="67"/>
      <c r="D832" s="24"/>
      <c r="E832" s="24"/>
      <c r="F832" s="24"/>
      <c r="G832" s="24"/>
      <c r="H832" s="24"/>
      <c r="I832" s="24"/>
      <c r="J832" s="67"/>
      <c r="K832" s="89"/>
    </row>
    <row r="833" outlineLevel="1" spans="1:11">
      <c r="A833" s="24"/>
      <c r="B833" s="60" t="str">
        <f t="shared" si="26"/>
        <v>0735</v>
      </c>
      <c r="C833" s="67"/>
      <c r="D833" s="24"/>
      <c r="E833" s="24"/>
      <c r="F833" s="24"/>
      <c r="G833" s="24"/>
      <c r="H833" s="24"/>
      <c r="I833" s="24"/>
      <c r="J833" s="67"/>
      <c r="K833" s="89"/>
    </row>
    <row r="834" outlineLevel="1" spans="1:11">
      <c r="A834" s="24"/>
      <c r="B834" s="60" t="str">
        <f t="shared" si="26"/>
        <v>0736</v>
      </c>
      <c r="C834" s="24"/>
      <c r="D834" s="24"/>
      <c r="E834" s="24"/>
      <c r="F834" s="24"/>
      <c r="G834" s="24"/>
      <c r="H834" s="24"/>
      <c r="I834" s="24"/>
      <c r="J834" s="24"/>
      <c r="K834" s="89"/>
    </row>
    <row r="835" outlineLevel="1" spans="1:11">
      <c r="A835" s="24"/>
      <c r="B835" s="60" t="str">
        <f t="shared" si="26"/>
        <v>0737</v>
      </c>
      <c r="C835" s="24"/>
      <c r="D835" s="24"/>
      <c r="E835" s="24"/>
      <c r="F835" s="24"/>
      <c r="G835" s="24"/>
      <c r="H835" s="24"/>
      <c r="I835" s="24"/>
      <c r="J835" s="24"/>
      <c r="K835" s="89"/>
    </row>
    <row r="836" outlineLevel="1" spans="1:11">
      <c r="A836" s="24"/>
      <c r="B836" s="60" t="str">
        <f t="shared" si="26"/>
        <v>0738</v>
      </c>
      <c r="C836" s="24"/>
      <c r="D836" s="24"/>
      <c r="E836" s="24"/>
      <c r="F836" s="24"/>
      <c r="G836" s="24"/>
      <c r="H836" s="24"/>
      <c r="I836" s="24"/>
      <c r="J836" s="24"/>
      <c r="K836" s="89"/>
    </row>
    <row r="837" outlineLevel="1" spans="1:11">
      <c r="A837" s="24"/>
      <c r="B837" s="60" t="str">
        <f t="shared" si="26"/>
        <v>0739</v>
      </c>
      <c r="C837" s="67"/>
      <c r="D837" s="24"/>
      <c r="E837" s="24"/>
      <c r="F837" s="24"/>
      <c r="G837" s="24"/>
      <c r="H837" s="24"/>
      <c r="I837" s="24"/>
      <c r="J837" s="67"/>
      <c r="K837" s="89"/>
    </row>
    <row r="838" outlineLevel="1" spans="1:11">
      <c r="A838" s="24"/>
      <c r="B838" s="60" t="str">
        <f t="shared" si="26"/>
        <v>073A</v>
      </c>
      <c r="C838" s="67"/>
      <c r="D838" s="24"/>
      <c r="E838" s="24"/>
      <c r="F838" s="24"/>
      <c r="G838" s="24"/>
      <c r="H838" s="24"/>
      <c r="I838" s="24"/>
      <c r="J838" s="67"/>
      <c r="K838" s="89"/>
    </row>
    <row r="839" outlineLevel="1" spans="1:11">
      <c r="A839" s="24"/>
      <c r="B839" s="60" t="str">
        <f t="shared" si="26"/>
        <v>073B</v>
      </c>
      <c r="C839" s="24"/>
      <c r="D839" s="24"/>
      <c r="E839" s="24"/>
      <c r="F839" s="24"/>
      <c r="G839" s="24"/>
      <c r="H839" s="24"/>
      <c r="I839" s="24"/>
      <c r="J839" s="24"/>
      <c r="K839" s="89"/>
    </row>
    <row r="840" outlineLevel="1" spans="1:11">
      <c r="A840" s="24"/>
      <c r="B840" s="60" t="str">
        <f t="shared" si="26"/>
        <v>073C</v>
      </c>
      <c r="C840" s="24"/>
      <c r="D840" s="24"/>
      <c r="E840" s="24"/>
      <c r="F840" s="24"/>
      <c r="G840" s="24"/>
      <c r="H840" s="24"/>
      <c r="I840" s="24"/>
      <c r="J840" s="24"/>
      <c r="K840" s="89"/>
    </row>
    <row r="841" outlineLevel="1" spans="1:11">
      <c r="A841" s="24"/>
      <c r="B841" s="60" t="str">
        <f t="shared" si="26"/>
        <v>073D</v>
      </c>
      <c r="C841" s="24"/>
      <c r="D841" s="24"/>
      <c r="E841" s="24"/>
      <c r="F841" s="24"/>
      <c r="G841" s="24"/>
      <c r="H841" s="24"/>
      <c r="I841" s="24"/>
      <c r="J841" s="24"/>
      <c r="K841" s="89"/>
    </row>
    <row r="842" outlineLevel="1" spans="1:11">
      <c r="A842" s="24"/>
      <c r="B842" s="60" t="str">
        <f t="shared" si="26"/>
        <v>073E</v>
      </c>
      <c r="C842" s="67"/>
      <c r="D842" s="24"/>
      <c r="E842" s="24"/>
      <c r="F842" s="24"/>
      <c r="G842" s="24"/>
      <c r="H842" s="24"/>
      <c r="I842" s="24"/>
      <c r="J842" s="67"/>
      <c r="K842" s="89"/>
    </row>
    <row r="843" outlineLevel="1" spans="1:11">
      <c r="A843" s="24"/>
      <c r="B843" s="60" t="str">
        <f t="shared" si="26"/>
        <v>073F</v>
      </c>
      <c r="C843" s="67"/>
      <c r="D843" s="24"/>
      <c r="E843" s="24"/>
      <c r="F843" s="24"/>
      <c r="G843" s="24"/>
      <c r="H843" s="24"/>
      <c r="I843" s="24"/>
      <c r="J843" s="67"/>
      <c r="K843" s="89"/>
    </row>
    <row r="844" outlineLevel="1" spans="1:11">
      <c r="A844" s="24"/>
      <c r="B844" s="60" t="str">
        <f t="shared" si="26"/>
        <v>0740</v>
      </c>
      <c r="C844" s="63" t="s">
        <v>943</v>
      </c>
      <c r="D844" s="59" t="s">
        <v>59</v>
      </c>
      <c r="E844" s="59"/>
      <c r="F844" s="59"/>
      <c r="G844" s="59"/>
      <c r="H844" s="59"/>
      <c r="I844" s="59" t="s">
        <v>38</v>
      </c>
      <c r="J844" s="72" t="s">
        <v>470</v>
      </c>
      <c r="K844" s="89" t="s">
        <v>780</v>
      </c>
    </row>
    <row r="845" outlineLevel="1" spans="1:11">
      <c r="A845" s="24"/>
      <c r="B845" s="60" t="str">
        <f t="shared" si="26"/>
        <v>0741</v>
      </c>
      <c r="C845" s="63"/>
      <c r="D845" s="59"/>
      <c r="E845" s="59"/>
      <c r="F845" s="59"/>
      <c r="G845" s="59"/>
      <c r="H845" s="59"/>
      <c r="I845" s="59"/>
      <c r="J845" s="72"/>
      <c r="K845" s="90"/>
    </row>
    <row r="846" outlineLevel="1" spans="1:11">
      <c r="A846" s="24"/>
      <c r="B846" s="60" t="str">
        <f t="shared" ref="B846:B907" si="27">DEC2HEX(1792+ROW()-ROW($B$780),4)</f>
        <v>0742</v>
      </c>
      <c r="C846" s="63"/>
      <c r="D846" s="59"/>
      <c r="E846" s="59"/>
      <c r="F846" s="59"/>
      <c r="G846" s="59"/>
      <c r="H846" s="59"/>
      <c r="I846" s="59"/>
      <c r="J846" s="72"/>
      <c r="K846" s="90"/>
    </row>
    <row r="847" ht="67" customHeight="1" outlineLevel="1" spans="1:11">
      <c r="A847" s="24"/>
      <c r="B847" s="60" t="str">
        <f t="shared" si="27"/>
        <v>0743</v>
      </c>
      <c r="C847" s="63"/>
      <c r="D847" s="59"/>
      <c r="E847" s="59"/>
      <c r="F847" s="59"/>
      <c r="G847" s="59"/>
      <c r="H847" s="59"/>
      <c r="I847" s="59"/>
      <c r="J847" s="72"/>
      <c r="K847" s="90"/>
    </row>
    <row r="848" outlineLevel="1" spans="1:11">
      <c r="A848" s="24"/>
      <c r="B848" s="60" t="str">
        <f t="shared" si="27"/>
        <v>0744</v>
      </c>
      <c r="C848" s="24"/>
      <c r="D848" s="24"/>
      <c r="E848" s="24"/>
      <c r="F848" s="24"/>
      <c r="G848" s="24"/>
      <c r="H848" s="24"/>
      <c r="I848" s="24"/>
      <c r="J848" s="24"/>
      <c r="K848" s="89"/>
    </row>
    <row r="849" outlineLevel="1" spans="1:11">
      <c r="A849" s="24"/>
      <c r="B849" s="60" t="str">
        <f t="shared" si="27"/>
        <v>0745</v>
      </c>
      <c r="C849" s="24"/>
      <c r="D849" s="24"/>
      <c r="E849" s="24"/>
      <c r="F849" s="24"/>
      <c r="G849" s="24"/>
      <c r="H849" s="24"/>
      <c r="I849" s="24"/>
      <c r="J849" s="24"/>
      <c r="K849" s="89"/>
    </row>
    <row r="850" outlineLevel="1" spans="1:11">
      <c r="A850" s="24"/>
      <c r="B850" s="60" t="str">
        <f t="shared" si="27"/>
        <v>0746</v>
      </c>
      <c r="C850" s="24"/>
      <c r="D850" s="24"/>
      <c r="E850" s="24"/>
      <c r="F850" s="24"/>
      <c r="G850" s="24"/>
      <c r="H850" s="24"/>
      <c r="I850" s="24"/>
      <c r="J850" s="24"/>
      <c r="K850" s="89"/>
    </row>
    <row r="851" outlineLevel="1" spans="1:11">
      <c r="A851" s="24"/>
      <c r="B851" s="60" t="str">
        <f t="shared" si="27"/>
        <v>0747</v>
      </c>
      <c r="C851" s="67"/>
      <c r="D851" s="24"/>
      <c r="E851" s="24"/>
      <c r="F851" s="24"/>
      <c r="G851" s="24"/>
      <c r="H851" s="24"/>
      <c r="I851" s="24"/>
      <c r="J851" s="67"/>
      <c r="K851" s="89"/>
    </row>
    <row r="852" outlineLevel="1" spans="1:11">
      <c r="A852" s="24"/>
      <c r="B852" s="60" t="str">
        <f t="shared" si="27"/>
        <v>0748</v>
      </c>
      <c r="C852" s="67"/>
      <c r="D852" s="24"/>
      <c r="E852" s="24"/>
      <c r="F852" s="24"/>
      <c r="G852" s="24"/>
      <c r="H852" s="24"/>
      <c r="I852" s="24"/>
      <c r="J852" s="67"/>
      <c r="K852" s="89"/>
    </row>
    <row r="853" outlineLevel="1" spans="1:11">
      <c r="A853" s="24"/>
      <c r="B853" s="60" t="str">
        <f t="shared" si="27"/>
        <v>0749</v>
      </c>
      <c r="C853" s="24"/>
      <c r="D853" s="24"/>
      <c r="E853" s="24"/>
      <c r="F853" s="24"/>
      <c r="G853" s="24"/>
      <c r="H853" s="24"/>
      <c r="I853" s="24"/>
      <c r="J853" s="24"/>
      <c r="K853" s="89"/>
    </row>
    <row r="854" outlineLevel="1" spans="1:11">
      <c r="A854" s="24"/>
      <c r="B854" s="60" t="str">
        <f t="shared" si="27"/>
        <v>074A</v>
      </c>
      <c r="C854" s="24"/>
      <c r="D854" s="24"/>
      <c r="E854" s="24"/>
      <c r="F854" s="24"/>
      <c r="G854" s="24"/>
      <c r="H854" s="24"/>
      <c r="I854" s="24"/>
      <c r="J854" s="24"/>
      <c r="K854" s="89"/>
    </row>
    <row r="855" outlineLevel="1" spans="1:11">
      <c r="A855" s="24"/>
      <c r="B855" s="60" t="str">
        <f t="shared" si="27"/>
        <v>074B</v>
      </c>
      <c r="C855" s="24"/>
      <c r="D855" s="24"/>
      <c r="E855" s="24"/>
      <c r="F855" s="24"/>
      <c r="G855" s="24"/>
      <c r="H855" s="24"/>
      <c r="I855" s="24"/>
      <c r="J855" s="24"/>
      <c r="K855" s="89"/>
    </row>
    <row r="856" outlineLevel="1" spans="1:11">
      <c r="A856" s="24"/>
      <c r="B856" s="60" t="str">
        <f t="shared" si="27"/>
        <v>074C</v>
      </c>
      <c r="C856" s="67"/>
      <c r="D856" s="24"/>
      <c r="E856" s="24"/>
      <c r="F856" s="24"/>
      <c r="G856" s="24"/>
      <c r="H856" s="24"/>
      <c r="I856" s="24"/>
      <c r="J856" s="67"/>
      <c r="K856" s="89"/>
    </row>
    <row r="857" outlineLevel="1" spans="1:11">
      <c r="A857" s="24"/>
      <c r="B857" s="60" t="str">
        <f t="shared" si="27"/>
        <v>074D</v>
      </c>
      <c r="C857" s="67"/>
      <c r="D857" s="24"/>
      <c r="E857" s="24"/>
      <c r="F857" s="24"/>
      <c r="G857" s="24"/>
      <c r="H857" s="24"/>
      <c r="I857" s="24"/>
      <c r="J857" s="67"/>
      <c r="K857" s="89"/>
    </row>
    <row r="858" outlineLevel="1" spans="1:11">
      <c r="A858" s="24"/>
      <c r="B858" s="60" t="str">
        <f t="shared" si="27"/>
        <v>074E</v>
      </c>
      <c r="C858" s="24"/>
      <c r="D858" s="24"/>
      <c r="E858" s="24"/>
      <c r="F858" s="24"/>
      <c r="G858" s="24"/>
      <c r="H858" s="24"/>
      <c r="I858" s="24"/>
      <c r="J858" s="24"/>
      <c r="K858" s="89"/>
    </row>
    <row r="859" outlineLevel="1" spans="1:11">
      <c r="A859" s="24"/>
      <c r="B859" s="60" t="str">
        <f t="shared" si="27"/>
        <v>074F</v>
      </c>
      <c r="C859" s="24"/>
      <c r="D859" s="24"/>
      <c r="E859" s="24"/>
      <c r="F859" s="24"/>
      <c r="G859" s="24"/>
      <c r="H859" s="24"/>
      <c r="I859" s="24"/>
      <c r="J859" s="24"/>
      <c r="K859" s="89"/>
    </row>
    <row r="860" outlineLevel="1" spans="1:11">
      <c r="A860" s="24"/>
      <c r="B860" s="60" t="str">
        <f t="shared" si="27"/>
        <v>0750</v>
      </c>
      <c r="C860" s="24"/>
      <c r="D860" s="24"/>
      <c r="E860" s="24"/>
      <c r="F860" s="24"/>
      <c r="G860" s="24"/>
      <c r="H860" s="24"/>
      <c r="I860" s="24"/>
      <c r="J860" s="24"/>
      <c r="K860" s="89"/>
    </row>
    <row r="861" outlineLevel="1" spans="1:11">
      <c r="A861" s="24"/>
      <c r="B861" s="60" t="str">
        <f t="shared" si="27"/>
        <v>0751</v>
      </c>
      <c r="C861" s="67"/>
      <c r="D861" s="24"/>
      <c r="E861" s="24"/>
      <c r="F861" s="24"/>
      <c r="G861" s="24"/>
      <c r="H861" s="24"/>
      <c r="I861" s="24"/>
      <c r="J861" s="67"/>
      <c r="K861" s="89"/>
    </row>
    <row r="862" outlineLevel="1" spans="1:11">
      <c r="A862" s="24"/>
      <c r="B862" s="60" t="str">
        <f t="shared" si="27"/>
        <v>0752</v>
      </c>
      <c r="C862" s="67"/>
      <c r="D862" s="24"/>
      <c r="E862" s="24"/>
      <c r="F862" s="24"/>
      <c r="G862" s="24"/>
      <c r="H862" s="24"/>
      <c r="I862" s="24"/>
      <c r="J862" s="67"/>
      <c r="K862" s="89"/>
    </row>
    <row r="863" outlineLevel="1" spans="1:11">
      <c r="A863" s="24"/>
      <c r="B863" s="60" t="str">
        <f t="shared" si="27"/>
        <v>0753</v>
      </c>
      <c r="C863" s="24"/>
      <c r="D863" s="24"/>
      <c r="E863" s="24"/>
      <c r="F863" s="24"/>
      <c r="G863" s="24"/>
      <c r="H863" s="24"/>
      <c r="I863" s="24"/>
      <c r="J863" s="24"/>
      <c r="K863" s="89"/>
    </row>
    <row r="864" outlineLevel="1" spans="1:11">
      <c r="A864" s="24"/>
      <c r="B864" s="60" t="str">
        <f t="shared" si="27"/>
        <v>0754</v>
      </c>
      <c r="C864" s="24"/>
      <c r="D864" s="24"/>
      <c r="E864" s="24"/>
      <c r="F864" s="24"/>
      <c r="G864" s="24"/>
      <c r="H864" s="24"/>
      <c r="I864" s="24"/>
      <c r="J864" s="24"/>
      <c r="K864" s="89"/>
    </row>
    <row r="865" outlineLevel="1" spans="1:11">
      <c r="A865" s="24"/>
      <c r="B865" s="60" t="str">
        <f t="shared" si="27"/>
        <v>0755</v>
      </c>
      <c r="C865" s="24"/>
      <c r="D865" s="24"/>
      <c r="E865" s="24"/>
      <c r="F865" s="24"/>
      <c r="G865" s="24"/>
      <c r="H865" s="24"/>
      <c r="I865" s="24"/>
      <c r="J865" s="24"/>
      <c r="K865" s="89"/>
    </row>
    <row r="866" outlineLevel="1" spans="1:11">
      <c r="A866" s="24"/>
      <c r="B866" s="60" t="str">
        <f t="shared" si="27"/>
        <v>0756</v>
      </c>
      <c r="C866" s="67"/>
      <c r="D866" s="24"/>
      <c r="E866" s="24"/>
      <c r="F866" s="24"/>
      <c r="G866" s="24"/>
      <c r="H866" s="24"/>
      <c r="I866" s="24"/>
      <c r="J866" s="67"/>
      <c r="K866" s="89"/>
    </row>
    <row r="867" outlineLevel="1" spans="1:11">
      <c r="A867" s="24"/>
      <c r="B867" s="60" t="str">
        <f t="shared" si="27"/>
        <v>0757</v>
      </c>
      <c r="C867" s="67"/>
      <c r="D867" s="24"/>
      <c r="E867" s="24"/>
      <c r="F867" s="24"/>
      <c r="G867" s="24"/>
      <c r="H867" s="24"/>
      <c r="I867" s="24"/>
      <c r="J867" s="67"/>
      <c r="K867" s="89"/>
    </row>
    <row r="868" outlineLevel="1" spans="1:11">
      <c r="A868" s="24"/>
      <c r="B868" s="60" t="str">
        <f t="shared" si="27"/>
        <v>0758</v>
      </c>
      <c r="C868" s="67"/>
      <c r="D868" s="24"/>
      <c r="E868" s="24"/>
      <c r="F868" s="24"/>
      <c r="G868" s="24"/>
      <c r="H868" s="24"/>
      <c r="I868" s="24"/>
      <c r="J868" s="67"/>
      <c r="K868" s="89"/>
    </row>
    <row r="869" outlineLevel="1" spans="1:11">
      <c r="A869" s="24"/>
      <c r="B869" s="60" t="str">
        <f t="shared" si="27"/>
        <v>0759</v>
      </c>
      <c r="C869" s="67"/>
      <c r="D869" s="24"/>
      <c r="E869" s="24"/>
      <c r="F869" s="24"/>
      <c r="G869" s="24"/>
      <c r="H869" s="24"/>
      <c r="I869" s="24"/>
      <c r="J869" s="67"/>
      <c r="K869" s="89"/>
    </row>
    <row r="870" outlineLevel="1" spans="1:11">
      <c r="A870" s="24"/>
      <c r="B870" s="60" t="str">
        <f t="shared" si="27"/>
        <v>075A</v>
      </c>
      <c r="C870" s="67"/>
      <c r="D870" s="24"/>
      <c r="E870" s="24"/>
      <c r="F870" s="24"/>
      <c r="G870" s="24"/>
      <c r="H870" s="24"/>
      <c r="I870" s="24"/>
      <c r="J870" s="67"/>
      <c r="K870" s="89"/>
    </row>
    <row r="871" outlineLevel="1" spans="1:11">
      <c r="A871" s="24"/>
      <c r="B871" s="60" t="str">
        <f t="shared" si="27"/>
        <v>075B</v>
      </c>
      <c r="C871" s="67"/>
      <c r="D871" s="24"/>
      <c r="E871" s="24"/>
      <c r="F871" s="24"/>
      <c r="G871" s="24"/>
      <c r="H871" s="24"/>
      <c r="I871" s="24"/>
      <c r="J871" s="67"/>
      <c r="K871" s="89"/>
    </row>
    <row r="872" outlineLevel="1" spans="1:11">
      <c r="A872" s="24"/>
      <c r="B872" s="60" t="str">
        <f t="shared" si="27"/>
        <v>075C</v>
      </c>
      <c r="C872" s="67"/>
      <c r="D872" s="24"/>
      <c r="E872" s="24"/>
      <c r="F872" s="24"/>
      <c r="G872" s="24"/>
      <c r="H872" s="24"/>
      <c r="I872" s="24"/>
      <c r="J872" s="67"/>
      <c r="K872" s="89"/>
    </row>
    <row r="873" outlineLevel="1" spans="1:11">
      <c r="A873" s="24"/>
      <c r="B873" s="60" t="str">
        <f t="shared" si="27"/>
        <v>075D</v>
      </c>
      <c r="C873" s="67"/>
      <c r="D873" s="24"/>
      <c r="E873" s="24"/>
      <c r="F873" s="24"/>
      <c r="G873" s="24"/>
      <c r="H873" s="24"/>
      <c r="I873" s="24"/>
      <c r="J873" s="67"/>
      <c r="K873" s="89"/>
    </row>
    <row r="874" outlineLevel="1" spans="1:11">
      <c r="A874" s="24"/>
      <c r="B874" s="60" t="str">
        <f t="shared" si="27"/>
        <v>075E</v>
      </c>
      <c r="C874" s="67"/>
      <c r="D874" s="24"/>
      <c r="E874" s="24"/>
      <c r="F874" s="24"/>
      <c r="G874" s="24"/>
      <c r="H874" s="24"/>
      <c r="I874" s="24"/>
      <c r="J874" s="67"/>
      <c r="K874" s="89"/>
    </row>
    <row r="875" outlineLevel="1" spans="1:11">
      <c r="A875" s="24"/>
      <c r="B875" s="60" t="str">
        <f t="shared" si="27"/>
        <v>075F</v>
      </c>
      <c r="C875" s="67"/>
      <c r="D875" s="24"/>
      <c r="E875" s="24"/>
      <c r="F875" s="24"/>
      <c r="G875" s="24"/>
      <c r="H875" s="24"/>
      <c r="I875" s="24"/>
      <c r="J875" s="67"/>
      <c r="K875" s="89"/>
    </row>
    <row r="876" outlineLevel="1" spans="1:11">
      <c r="A876" s="24"/>
      <c r="B876" s="60" t="str">
        <f t="shared" si="27"/>
        <v>0760</v>
      </c>
      <c r="C876" s="67"/>
      <c r="D876" s="24"/>
      <c r="E876" s="24"/>
      <c r="F876" s="24"/>
      <c r="G876" s="24"/>
      <c r="H876" s="24"/>
      <c r="I876" s="24"/>
      <c r="J876" s="67"/>
      <c r="K876" s="89"/>
    </row>
    <row r="877" outlineLevel="1" spans="1:11">
      <c r="A877" s="24"/>
      <c r="B877" s="60" t="str">
        <f t="shared" si="27"/>
        <v>0761</v>
      </c>
      <c r="C877" s="67"/>
      <c r="D877" s="24"/>
      <c r="E877" s="24"/>
      <c r="F877" s="24"/>
      <c r="G877" s="24"/>
      <c r="H877" s="24"/>
      <c r="I877" s="24"/>
      <c r="J877" s="67"/>
      <c r="K877" s="89"/>
    </row>
    <row r="878" outlineLevel="1" spans="1:11">
      <c r="A878" s="24"/>
      <c r="B878" s="60" t="str">
        <f t="shared" si="27"/>
        <v>0762</v>
      </c>
      <c r="C878" s="67"/>
      <c r="D878" s="24"/>
      <c r="E878" s="24"/>
      <c r="F878" s="24"/>
      <c r="G878" s="24"/>
      <c r="H878" s="24"/>
      <c r="I878" s="24"/>
      <c r="J878" s="67"/>
      <c r="K878" s="89"/>
    </row>
    <row r="879" outlineLevel="1" spans="1:11">
      <c r="A879" s="24"/>
      <c r="B879" s="60" t="str">
        <f t="shared" si="27"/>
        <v>0763</v>
      </c>
      <c r="C879" s="67"/>
      <c r="D879" s="24"/>
      <c r="E879" s="24"/>
      <c r="F879" s="24"/>
      <c r="G879" s="24"/>
      <c r="H879" s="24"/>
      <c r="I879" s="24"/>
      <c r="J879" s="67"/>
      <c r="K879" s="89"/>
    </row>
    <row r="880" outlineLevel="1" spans="1:11">
      <c r="A880" s="24"/>
      <c r="B880" s="60" t="str">
        <f t="shared" si="27"/>
        <v>0764</v>
      </c>
      <c r="C880" s="67"/>
      <c r="D880" s="24"/>
      <c r="E880" s="24"/>
      <c r="F880" s="24"/>
      <c r="G880" s="24"/>
      <c r="H880" s="24"/>
      <c r="I880" s="24"/>
      <c r="J880" s="67"/>
      <c r="K880" s="89"/>
    </row>
    <row r="881" outlineLevel="1" spans="1:11">
      <c r="A881" s="24"/>
      <c r="B881" s="60" t="str">
        <f t="shared" si="27"/>
        <v>0765</v>
      </c>
      <c r="C881" s="67"/>
      <c r="D881" s="24"/>
      <c r="E881" s="24"/>
      <c r="F881" s="24"/>
      <c r="G881" s="24"/>
      <c r="H881" s="24"/>
      <c r="I881" s="24"/>
      <c r="J881" s="67"/>
      <c r="K881" s="89"/>
    </row>
    <row r="882" outlineLevel="1" spans="1:11">
      <c r="A882" s="24"/>
      <c r="B882" s="60" t="str">
        <f t="shared" si="27"/>
        <v>0766</v>
      </c>
      <c r="C882" s="67"/>
      <c r="D882" s="24"/>
      <c r="E882" s="24"/>
      <c r="F882" s="24"/>
      <c r="G882" s="24"/>
      <c r="H882" s="24"/>
      <c r="I882" s="24"/>
      <c r="J882" s="67"/>
      <c r="K882" s="89"/>
    </row>
    <row r="883" outlineLevel="1" spans="1:11">
      <c r="A883" s="24"/>
      <c r="B883" s="60" t="str">
        <f t="shared" si="27"/>
        <v>0767</v>
      </c>
      <c r="C883" s="67"/>
      <c r="D883" s="24"/>
      <c r="E883" s="24"/>
      <c r="F883" s="24"/>
      <c r="G883" s="24"/>
      <c r="H883" s="24"/>
      <c r="I883" s="24"/>
      <c r="J883" s="67"/>
      <c r="K883" s="89"/>
    </row>
    <row r="884" outlineLevel="1" spans="1:11">
      <c r="A884" s="24"/>
      <c r="B884" s="60" t="str">
        <f t="shared" si="27"/>
        <v>0768</v>
      </c>
      <c r="C884" s="67"/>
      <c r="D884" s="24"/>
      <c r="E884" s="24"/>
      <c r="F884" s="24"/>
      <c r="G884" s="24"/>
      <c r="H884" s="24"/>
      <c r="I884" s="24"/>
      <c r="J884" s="67"/>
      <c r="K884" s="89"/>
    </row>
    <row r="885" outlineLevel="1" spans="1:11">
      <c r="A885" s="24"/>
      <c r="B885" s="60" t="str">
        <f t="shared" si="27"/>
        <v>0769</v>
      </c>
      <c r="C885" s="67"/>
      <c r="D885" s="24"/>
      <c r="E885" s="24"/>
      <c r="F885" s="24"/>
      <c r="G885" s="24"/>
      <c r="H885" s="24"/>
      <c r="I885" s="24"/>
      <c r="J885" s="67"/>
      <c r="K885" s="89"/>
    </row>
    <row r="886" outlineLevel="1" spans="1:11">
      <c r="A886" s="24"/>
      <c r="B886" s="60" t="str">
        <f t="shared" si="27"/>
        <v>076A</v>
      </c>
      <c r="C886" s="67"/>
      <c r="D886" s="24"/>
      <c r="E886" s="24"/>
      <c r="F886" s="24"/>
      <c r="G886" s="24"/>
      <c r="H886" s="24"/>
      <c r="I886" s="24"/>
      <c r="J886" s="67"/>
      <c r="K886" s="89"/>
    </row>
    <row r="887" outlineLevel="1" spans="1:11">
      <c r="A887" s="24"/>
      <c r="B887" s="60" t="str">
        <f t="shared" si="27"/>
        <v>076B</v>
      </c>
      <c r="C887" s="67"/>
      <c r="D887" s="24"/>
      <c r="E887" s="24"/>
      <c r="F887" s="24"/>
      <c r="G887" s="24"/>
      <c r="H887" s="24"/>
      <c r="I887" s="24"/>
      <c r="J887" s="67"/>
      <c r="K887" s="89"/>
    </row>
    <row r="888" outlineLevel="1" spans="1:11">
      <c r="A888" s="24"/>
      <c r="B888" s="60" t="str">
        <f t="shared" si="27"/>
        <v>076C</v>
      </c>
      <c r="C888" s="67"/>
      <c r="D888" s="24"/>
      <c r="E888" s="24"/>
      <c r="F888" s="24"/>
      <c r="G888" s="24"/>
      <c r="H888" s="24"/>
      <c r="I888" s="24"/>
      <c r="J888" s="67"/>
      <c r="K888" s="89"/>
    </row>
    <row r="889" outlineLevel="1" spans="1:11">
      <c r="A889" s="24"/>
      <c r="B889" s="60" t="str">
        <f t="shared" si="27"/>
        <v>076D</v>
      </c>
      <c r="C889" s="67"/>
      <c r="D889" s="24"/>
      <c r="E889" s="24"/>
      <c r="F889" s="24"/>
      <c r="G889" s="24"/>
      <c r="H889" s="24"/>
      <c r="I889" s="24"/>
      <c r="J889" s="67"/>
      <c r="K889" s="89"/>
    </row>
    <row r="890" outlineLevel="1" spans="1:11">
      <c r="A890" s="24"/>
      <c r="B890" s="60" t="str">
        <f t="shared" si="27"/>
        <v>076E</v>
      </c>
      <c r="C890" s="67"/>
      <c r="D890" s="24"/>
      <c r="E890" s="24"/>
      <c r="F890" s="24"/>
      <c r="G890" s="24"/>
      <c r="H890" s="24"/>
      <c r="I890" s="24"/>
      <c r="J890" s="67"/>
      <c r="K890" s="89"/>
    </row>
    <row r="891" outlineLevel="1" spans="1:11">
      <c r="A891" s="24"/>
      <c r="B891" s="60" t="str">
        <f t="shared" si="27"/>
        <v>076F</v>
      </c>
      <c r="C891" s="67"/>
      <c r="D891" s="24"/>
      <c r="E891" s="24"/>
      <c r="F891" s="24"/>
      <c r="G891" s="24"/>
      <c r="H891" s="24"/>
      <c r="I891" s="24"/>
      <c r="J891" s="67"/>
      <c r="K891" s="89"/>
    </row>
    <row r="892" outlineLevel="1" spans="1:11">
      <c r="A892" s="24"/>
      <c r="B892" s="60" t="str">
        <f t="shared" si="27"/>
        <v>0770</v>
      </c>
      <c r="C892" s="67"/>
      <c r="D892" s="24"/>
      <c r="E892" s="24"/>
      <c r="F892" s="24"/>
      <c r="G892" s="24"/>
      <c r="H892" s="24"/>
      <c r="I892" s="24"/>
      <c r="J892" s="67"/>
      <c r="K892" s="89"/>
    </row>
    <row r="893" outlineLevel="1" spans="1:11">
      <c r="A893" s="24"/>
      <c r="B893" s="60" t="str">
        <f t="shared" si="27"/>
        <v>0771</v>
      </c>
      <c r="C893" s="67"/>
      <c r="D893" s="24"/>
      <c r="E893" s="24"/>
      <c r="F893" s="24"/>
      <c r="G893" s="24"/>
      <c r="H893" s="24"/>
      <c r="I893" s="24"/>
      <c r="J893" s="67"/>
      <c r="K893" s="89"/>
    </row>
    <row r="894" outlineLevel="1" spans="1:11">
      <c r="A894" s="24"/>
      <c r="B894" s="60" t="str">
        <f t="shared" si="27"/>
        <v>0772</v>
      </c>
      <c r="C894" s="67"/>
      <c r="D894" s="24"/>
      <c r="E894" s="24"/>
      <c r="F894" s="24"/>
      <c r="G894" s="24"/>
      <c r="H894" s="24"/>
      <c r="I894" s="24"/>
      <c r="J894" s="67"/>
      <c r="K894" s="89"/>
    </row>
    <row r="895" outlineLevel="1" spans="1:11">
      <c r="A895" s="24"/>
      <c r="B895" s="60" t="str">
        <f t="shared" si="27"/>
        <v>0773</v>
      </c>
      <c r="C895" s="67"/>
      <c r="D895" s="24"/>
      <c r="E895" s="24"/>
      <c r="F895" s="24"/>
      <c r="G895" s="24"/>
      <c r="H895" s="24"/>
      <c r="I895" s="24"/>
      <c r="J895" s="67"/>
      <c r="K895" s="89"/>
    </row>
    <row r="896" outlineLevel="1" spans="1:11">
      <c r="A896" s="24"/>
      <c r="B896" s="60" t="str">
        <f t="shared" si="27"/>
        <v>0774</v>
      </c>
      <c r="C896" s="67"/>
      <c r="D896" s="24"/>
      <c r="E896" s="24"/>
      <c r="F896" s="24"/>
      <c r="G896" s="24"/>
      <c r="H896" s="24"/>
      <c r="I896" s="24"/>
      <c r="J896" s="67"/>
      <c r="K896" s="89"/>
    </row>
    <row r="897" outlineLevel="1" spans="1:11">
      <c r="A897" s="24"/>
      <c r="B897" s="60" t="str">
        <f t="shared" si="27"/>
        <v>0775</v>
      </c>
      <c r="C897" s="67"/>
      <c r="D897" s="24"/>
      <c r="E897" s="24"/>
      <c r="F897" s="24"/>
      <c r="G897" s="24"/>
      <c r="H897" s="24"/>
      <c r="I897" s="24"/>
      <c r="J897" s="67"/>
      <c r="K897" s="89"/>
    </row>
    <row r="898" outlineLevel="1" spans="1:11">
      <c r="A898" s="24"/>
      <c r="B898" s="60" t="str">
        <f t="shared" si="27"/>
        <v>0776</v>
      </c>
      <c r="C898" s="67"/>
      <c r="D898" s="24"/>
      <c r="E898" s="24"/>
      <c r="F898" s="24"/>
      <c r="G898" s="24"/>
      <c r="H898" s="24"/>
      <c r="I898" s="24"/>
      <c r="J898" s="67"/>
      <c r="K898" s="89"/>
    </row>
    <row r="899" outlineLevel="1" spans="1:11">
      <c r="A899" s="24"/>
      <c r="B899" s="60" t="str">
        <f t="shared" si="27"/>
        <v>0777</v>
      </c>
      <c r="C899" s="67"/>
      <c r="D899" s="24"/>
      <c r="E899" s="24"/>
      <c r="F899" s="24"/>
      <c r="G899" s="24"/>
      <c r="H899" s="24"/>
      <c r="I899" s="24"/>
      <c r="J899" s="67"/>
      <c r="K899" s="89"/>
    </row>
    <row r="900" outlineLevel="1" spans="1:11">
      <c r="A900" s="24"/>
      <c r="B900" s="60" t="str">
        <f t="shared" si="27"/>
        <v>0778</v>
      </c>
      <c r="C900" s="67"/>
      <c r="D900" s="24"/>
      <c r="E900" s="24"/>
      <c r="F900" s="24"/>
      <c r="G900" s="24"/>
      <c r="H900" s="24"/>
      <c r="I900" s="24"/>
      <c r="J900" s="67"/>
      <c r="K900" s="89"/>
    </row>
    <row r="901" outlineLevel="1" spans="1:11">
      <c r="A901" s="24"/>
      <c r="B901" s="60" t="str">
        <f t="shared" si="27"/>
        <v>0779</v>
      </c>
      <c r="C901" s="67"/>
      <c r="D901" s="24"/>
      <c r="E901" s="24"/>
      <c r="F901" s="24"/>
      <c r="G901" s="24"/>
      <c r="H901" s="24"/>
      <c r="I901" s="24"/>
      <c r="J901" s="67"/>
      <c r="K901" s="89"/>
    </row>
    <row r="902" outlineLevel="1" spans="1:11">
      <c r="A902" s="24"/>
      <c r="B902" s="60" t="str">
        <f t="shared" si="27"/>
        <v>077A</v>
      </c>
      <c r="C902" s="67"/>
      <c r="D902" s="24"/>
      <c r="E902" s="24"/>
      <c r="F902" s="24"/>
      <c r="G902" s="24"/>
      <c r="H902" s="24"/>
      <c r="I902" s="24"/>
      <c r="J902" s="67"/>
      <c r="K902" s="89"/>
    </row>
    <row r="903" outlineLevel="1" spans="1:11">
      <c r="A903" s="24"/>
      <c r="B903" s="60" t="str">
        <f t="shared" si="27"/>
        <v>077B</v>
      </c>
      <c r="C903" s="67"/>
      <c r="D903" s="24"/>
      <c r="E903" s="24"/>
      <c r="F903" s="24"/>
      <c r="G903" s="24"/>
      <c r="H903" s="24"/>
      <c r="I903" s="24"/>
      <c r="J903" s="67"/>
      <c r="K903" s="89"/>
    </row>
    <row r="904" outlineLevel="1" spans="1:11">
      <c r="A904" s="24"/>
      <c r="B904" s="60" t="str">
        <f t="shared" si="27"/>
        <v>077C</v>
      </c>
      <c r="C904" s="67"/>
      <c r="D904" s="24"/>
      <c r="E904" s="24"/>
      <c r="F904" s="24"/>
      <c r="G904" s="24"/>
      <c r="H904" s="24"/>
      <c r="I904" s="24"/>
      <c r="J904" s="67"/>
      <c r="K904" s="89"/>
    </row>
    <row r="905" outlineLevel="1" spans="1:11">
      <c r="A905" s="24"/>
      <c r="B905" s="60" t="str">
        <f t="shared" si="27"/>
        <v>077D</v>
      </c>
      <c r="C905" s="67"/>
      <c r="D905" s="24"/>
      <c r="E905" s="24"/>
      <c r="F905" s="24"/>
      <c r="G905" s="24"/>
      <c r="H905" s="24"/>
      <c r="I905" s="24"/>
      <c r="J905" s="67"/>
      <c r="K905" s="89"/>
    </row>
    <row r="906" outlineLevel="1" spans="1:11">
      <c r="A906" s="24"/>
      <c r="B906" s="60" t="str">
        <f t="shared" si="27"/>
        <v>077E</v>
      </c>
      <c r="C906" s="67"/>
      <c r="D906" s="24"/>
      <c r="E906" s="24"/>
      <c r="F906" s="24"/>
      <c r="G906" s="24"/>
      <c r="H906" s="24"/>
      <c r="I906" s="24"/>
      <c r="J906" s="67"/>
      <c r="K906" s="89"/>
    </row>
    <row r="907" outlineLevel="1" spans="1:11">
      <c r="A907" s="24"/>
      <c r="B907" s="60" t="str">
        <f t="shared" si="27"/>
        <v>077F</v>
      </c>
      <c r="C907" s="67"/>
      <c r="D907" s="24"/>
      <c r="E907" s="24"/>
      <c r="F907" s="24"/>
      <c r="G907" s="24"/>
      <c r="H907" s="24"/>
      <c r="I907" s="24"/>
      <c r="J907" s="67"/>
      <c r="K907" s="89"/>
    </row>
    <row r="908" s="22" customFormat="1" outlineLevel="1" spans="1:11">
      <c r="A908" s="24"/>
      <c r="B908" s="60"/>
      <c r="C908" s="67"/>
      <c r="D908" s="24"/>
      <c r="E908" s="24"/>
      <c r="F908" s="24"/>
      <c r="G908" s="24"/>
      <c r="H908" s="24"/>
      <c r="I908" s="24"/>
      <c r="J908" s="67"/>
      <c r="K908" s="89"/>
    </row>
    <row r="909" spans="1:11">
      <c r="A909" s="24"/>
      <c r="B909" s="60"/>
      <c r="C909" s="67"/>
      <c r="D909" s="24"/>
      <c r="E909" s="24"/>
      <c r="F909" s="24"/>
      <c r="G909" s="24"/>
      <c r="H909" s="24"/>
      <c r="I909" s="24"/>
      <c r="J909" s="67"/>
      <c r="K909" s="89"/>
    </row>
    <row r="910" spans="1:11">
      <c r="A910" s="57" t="s">
        <v>944</v>
      </c>
      <c r="B910" s="58"/>
      <c r="C910" s="58"/>
      <c r="D910" s="58"/>
      <c r="E910" s="58"/>
      <c r="F910" s="58"/>
      <c r="G910" s="58"/>
      <c r="H910" s="58"/>
      <c r="I910" s="58"/>
      <c r="J910" s="58"/>
      <c r="K910" s="58"/>
    </row>
    <row r="911" s="22" customFormat="1" outlineLevel="1" spans="1:11">
      <c r="A911" s="24"/>
      <c r="B911" s="60" t="str">
        <f>DEC2HEX(1920+ROW()-ROW($B$911),4)</f>
        <v>0780</v>
      </c>
      <c r="C911" s="93" t="s">
        <v>945</v>
      </c>
      <c r="D911" s="94" t="s">
        <v>59</v>
      </c>
      <c r="E911" s="94"/>
      <c r="F911" s="94"/>
      <c r="G911" s="94"/>
      <c r="H911" s="94"/>
      <c r="I911" s="94" t="s">
        <v>38</v>
      </c>
      <c r="J911" s="93" t="s">
        <v>573</v>
      </c>
      <c r="K911" s="97" t="s">
        <v>780</v>
      </c>
    </row>
    <row r="912" s="22" customFormat="1" outlineLevel="1" spans="1:11">
      <c r="A912" s="24"/>
      <c r="B912" s="60" t="str">
        <f t="shared" ref="B912:B974" si="28">DEC2HEX(1920+ROW()-ROW($B$911),4)</f>
        <v>0781</v>
      </c>
      <c r="C912" s="93"/>
      <c r="D912" s="94"/>
      <c r="E912" s="94"/>
      <c r="F912" s="94"/>
      <c r="G912" s="94"/>
      <c r="H912" s="94"/>
      <c r="I912" s="94"/>
      <c r="J912" s="93"/>
      <c r="K912" s="98"/>
    </row>
    <row r="913" s="22" customFormat="1" outlineLevel="1" spans="1:11">
      <c r="A913" s="24"/>
      <c r="B913" s="60" t="str">
        <f t="shared" si="28"/>
        <v>0782</v>
      </c>
      <c r="C913" s="93"/>
      <c r="D913" s="94"/>
      <c r="E913" s="94"/>
      <c r="F913" s="94"/>
      <c r="G913" s="94"/>
      <c r="H913" s="94"/>
      <c r="I913" s="94"/>
      <c r="J913" s="93"/>
      <c r="K913" s="98"/>
    </row>
    <row r="914" s="22" customFormat="1" ht="60" customHeight="1" outlineLevel="1" spans="1:11">
      <c r="A914" s="24"/>
      <c r="B914" s="60" t="str">
        <f t="shared" si="28"/>
        <v>0783</v>
      </c>
      <c r="C914" s="93"/>
      <c r="D914" s="94"/>
      <c r="E914" s="94"/>
      <c r="F914" s="94"/>
      <c r="G914" s="94"/>
      <c r="H914" s="94"/>
      <c r="I914" s="94"/>
      <c r="J914" s="93"/>
      <c r="K914" s="98"/>
    </row>
    <row r="915" s="22" customFormat="1" outlineLevel="1" spans="1:11">
      <c r="A915" s="24"/>
      <c r="B915" s="60" t="str">
        <f t="shared" si="28"/>
        <v>0784</v>
      </c>
      <c r="C915" s="95" t="s">
        <v>946</v>
      </c>
      <c r="D915" s="96" t="s">
        <v>131</v>
      </c>
      <c r="E915" s="96">
        <v>1</v>
      </c>
      <c r="F915" s="96"/>
      <c r="G915" s="96"/>
      <c r="H915" s="96"/>
      <c r="I915" s="96" t="s">
        <v>38</v>
      </c>
      <c r="J915" s="72" t="s">
        <v>947</v>
      </c>
      <c r="K915" s="97"/>
    </row>
    <row r="916" s="22" customFormat="1" outlineLevel="1" spans="1:11">
      <c r="A916" s="24"/>
      <c r="B916" s="60" t="str">
        <f t="shared" si="28"/>
        <v>0785</v>
      </c>
      <c r="C916" s="95" t="s">
        <v>948</v>
      </c>
      <c r="D916" s="96" t="s">
        <v>131</v>
      </c>
      <c r="E916" s="96">
        <v>1</v>
      </c>
      <c r="F916" s="96"/>
      <c r="G916" s="96"/>
      <c r="H916" s="96"/>
      <c r="I916" s="96" t="s">
        <v>38</v>
      </c>
      <c r="J916" s="72" t="s">
        <v>949</v>
      </c>
      <c r="K916" s="97"/>
    </row>
    <row r="917" s="22" customFormat="1" outlineLevel="1" spans="1:11">
      <c r="A917" s="24"/>
      <c r="B917" s="60" t="str">
        <f t="shared" si="28"/>
        <v>0786</v>
      </c>
      <c r="C917" s="95" t="s">
        <v>950</v>
      </c>
      <c r="D917" s="96" t="s">
        <v>131</v>
      </c>
      <c r="E917" s="96">
        <v>1</v>
      </c>
      <c r="F917" s="96"/>
      <c r="G917" s="96"/>
      <c r="H917" s="96"/>
      <c r="I917" s="96" t="s">
        <v>38</v>
      </c>
      <c r="J917" s="72" t="s">
        <v>951</v>
      </c>
      <c r="K917" s="97"/>
    </row>
    <row r="918" s="22" customFormat="1" outlineLevel="1" spans="1:11">
      <c r="A918" s="24"/>
      <c r="B918" s="60" t="str">
        <f t="shared" si="28"/>
        <v>0787</v>
      </c>
      <c r="C918" s="95" t="s">
        <v>952</v>
      </c>
      <c r="D918" s="96" t="s">
        <v>131</v>
      </c>
      <c r="E918" s="96">
        <v>1</v>
      </c>
      <c r="F918" s="96"/>
      <c r="G918" s="96"/>
      <c r="H918" s="96"/>
      <c r="I918" s="96" t="s">
        <v>38</v>
      </c>
      <c r="J918" s="72" t="s">
        <v>953</v>
      </c>
      <c r="K918" s="97"/>
    </row>
    <row r="919" s="22" customFormat="1" outlineLevel="1" spans="1:11">
      <c r="A919" s="24"/>
      <c r="B919" s="60" t="str">
        <f t="shared" si="28"/>
        <v>0788</v>
      </c>
      <c r="C919" s="95" t="s">
        <v>954</v>
      </c>
      <c r="D919" s="96" t="s">
        <v>131</v>
      </c>
      <c r="E919" s="96">
        <v>1</v>
      </c>
      <c r="F919" s="96"/>
      <c r="G919" s="96"/>
      <c r="H919" s="96"/>
      <c r="I919" s="96" t="s">
        <v>38</v>
      </c>
      <c r="J919" s="72" t="s">
        <v>955</v>
      </c>
      <c r="K919" s="97"/>
    </row>
    <row r="920" s="22" customFormat="1" outlineLevel="1" spans="1:11">
      <c r="A920" s="24"/>
      <c r="B920" s="60" t="str">
        <f t="shared" si="28"/>
        <v>0789</v>
      </c>
      <c r="C920" s="95" t="s">
        <v>956</v>
      </c>
      <c r="D920" s="96" t="s">
        <v>131</v>
      </c>
      <c r="E920" s="96">
        <v>1</v>
      </c>
      <c r="F920" s="96"/>
      <c r="G920" s="96"/>
      <c r="H920" s="96"/>
      <c r="I920" s="96" t="s">
        <v>38</v>
      </c>
      <c r="J920" s="72" t="s">
        <v>957</v>
      </c>
      <c r="K920" s="97"/>
    </row>
    <row r="921" s="22" customFormat="1" outlineLevel="1" spans="1:11">
      <c r="A921" s="24"/>
      <c r="B921" s="60" t="str">
        <f t="shared" si="28"/>
        <v>078A</v>
      </c>
      <c r="C921" s="95" t="s">
        <v>958</v>
      </c>
      <c r="D921" s="96" t="s">
        <v>131</v>
      </c>
      <c r="E921" s="96">
        <v>1</v>
      </c>
      <c r="F921" s="96"/>
      <c r="G921" s="96"/>
      <c r="H921" s="96"/>
      <c r="I921" s="96" t="s">
        <v>38</v>
      </c>
      <c r="J921" s="72" t="s">
        <v>959</v>
      </c>
      <c r="K921" s="97"/>
    </row>
    <row r="922" s="22" customFormat="1" outlineLevel="1" spans="1:11">
      <c r="A922" s="24"/>
      <c r="B922" s="60" t="str">
        <f t="shared" si="28"/>
        <v>078B</v>
      </c>
      <c r="C922" s="95" t="s">
        <v>960</v>
      </c>
      <c r="D922" s="96" t="s">
        <v>131</v>
      </c>
      <c r="E922" s="96">
        <v>1</v>
      </c>
      <c r="F922" s="96"/>
      <c r="G922" s="96"/>
      <c r="H922" s="96"/>
      <c r="I922" s="96" t="s">
        <v>38</v>
      </c>
      <c r="J922" s="72" t="s">
        <v>961</v>
      </c>
      <c r="K922" s="97"/>
    </row>
    <row r="923" s="22" customFormat="1" outlineLevel="1" spans="1:11">
      <c r="A923" s="24"/>
      <c r="B923" s="60" t="str">
        <f t="shared" si="28"/>
        <v>078C</v>
      </c>
      <c r="C923" s="95" t="s">
        <v>962</v>
      </c>
      <c r="D923" s="96" t="s">
        <v>131</v>
      </c>
      <c r="E923" s="96">
        <v>1</v>
      </c>
      <c r="F923" s="96"/>
      <c r="G923" s="96"/>
      <c r="H923" s="96"/>
      <c r="I923" s="96" t="s">
        <v>38</v>
      </c>
      <c r="J923" s="72" t="s">
        <v>963</v>
      </c>
      <c r="K923" s="97"/>
    </row>
    <row r="924" s="22" customFormat="1" ht="28.5" outlineLevel="1" spans="1:11">
      <c r="A924" s="24"/>
      <c r="B924" s="60" t="str">
        <f t="shared" si="28"/>
        <v>078D</v>
      </c>
      <c r="C924" s="95" t="s">
        <v>964</v>
      </c>
      <c r="D924" s="96" t="s">
        <v>131</v>
      </c>
      <c r="E924" s="96">
        <v>1</v>
      </c>
      <c r="F924" s="96"/>
      <c r="G924" s="96"/>
      <c r="H924" s="96"/>
      <c r="I924" s="96" t="s">
        <v>38</v>
      </c>
      <c r="J924" s="72" t="s">
        <v>965</v>
      </c>
      <c r="K924" s="97"/>
    </row>
    <row r="925" s="22" customFormat="1" ht="28.5" outlineLevel="1" spans="1:11">
      <c r="A925" s="24"/>
      <c r="B925" s="60" t="str">
        <f t="shared" si="28"/>
        <v>078E</v>
      </c>
      <c r="C925" s="95" t="s">
        <v>966</v>
      </c>
      <c r="D925" s="96" t="s">
        <v>131</v>
      </c>
      <c r="E925" s="96">
        <v>1</v>
      </c>
      <c r="F925" s="96"/>
      <c r="G925" s="96"/>
      <c r="H925" s="96"/>
      <c r="I925" s="96" t="s">
        <v>38</v>
      </c>
      <c r="J925" s="72" t="s">
        <v>967</v>
      </c>
      <c r="K925" s="97"/>
    </row>
    <row r="926" s="22" customFormat="1" ht="28.5" outlineLevel="1" spans="1:11">
      <c r="A926" s="24"/>
      <c r="B926" s="60" t="str">
        <f t="shared" si="28"/>
        <v>078F</v>
      </c>
      <c r="C926" s="95" t="s">
        <v>968</v>
      </c>
      <c r="D926" s="96" t="s">
        <v>131</v>
      </c>
      <c r="E926" s="96">
        <v>1</v>
      </c>
      <c r="F926" s="96"/>
      <c r="G926" s="96"/>
      <c r="H926" s="96"/>
      <c r="I926" s="96" t="s">
        <v>38</v>
      </c>
      <c r="J926" s="72" t="s">
        <v>969</v>
      </c>
      <c r="K926" s="97"/>
    </row>
    <row r="927" s="22" customFormat="1" ht="28.5" outlineLevel="1" spans="1:11">
      <c r="A927" s="24"/>
      <c r="B927" s="60" t="str">
        <f t="shared" si="28"/>
        <v>0790</v>
      </c>
      <c r="C927" s="95" t="s">
        <v>970</v>
      </c>
      <c r="D927" s="96" t="s">
        <v>131</v>
      </c>
      <c r="E927" s="96">
        <v>1</v>
      </c>
      <c r="F927" s="96"/>
      <c r="G927" s="96"/>
      <c r="H927" s="96"/>
      <c r="I927" s="96" t="s">
        <v>38</v>
      </c>
      <c r="J927" s="72" t="s">
        <v>971</v>
      </c>
      <c r="K927" s="97"/>
    </row>
    <row r="928" s="22" customFormat="1" ht="28.5" outlineLevel="1" spans="1:11">
      <c r="A928" s="24"/>
      <c r="B928" s="60" t="str">
        <f t="shared" si="28"/>
        <v>0791</v>
      </c>
      <c r="C928" s="95" t="s">
        <v>972</v>
      </c>
      <c r="D928" s="96" t="s">
        <v>131</v>
      </c>
      <c r="E928" s="96">
        <v>1</v>
      </c>
      <c r="F928" s="96"/>
      <c r="G928" s="96"/>
      <c r="H928" s="96"/>
      <c r="I928" s="96" t="s">
        <v>38</v>
      </c>
      <c r="J928" s="72" t="s">
        <v>973</v>
      </c>
      <c r="K928" s="97"/>
    </row>
    <row r="929" s="22" customFormat="1" ht="28.5" outlineLevel="1" spans="1:11">
      <c r="A929" s="24"/>
      <c r="B929" s="60" t="str">
        <f t="shared" si="28"/>
        <v>0792</v>
      </c>
      <c r="C929" s="95" t="s">
        <v>974</v>
      </c>
      <c r="D929" s="96" t="s">
        <v>131</v>
      </c>
      <c r="E929" s="96">
        <v>1</v>
      </c>
      <c r="F929" s="96"/>
      <c r="G929" s="96"/>
      <c r="H929" s="96"/>
      <c r="I929" s="96" t="s">
        <v>38</v>
      </c>
      <c r="J929" s="72" t="s">
        <v>975</v>
      </c>
      <c r="K929" s="97"/>
    </row>
    <row r="930" s="22" customFormat="1" ht="28.5" outlineLevel="1" spans="1:11">
      <c r="A930" s="24"/>
      <c r="B930" s="60" t="str">
        <f t="shared" si="28"/>
        <v>0793</v>
      </c>
      <c r="C930" s="95" t="s">
        <v>976</v>
      </c>
      <c r="D930" s="96" t="s">
        <v>131</v>
      </c>
      <c r="E930" s="96">
        <v>1</v>
      </c>
      <c r="F930" s="96"/>
      <c r="G930" s="96"/>
      <c r="H930" s="96"/>
      <c r="I930" s="96" t="s">
        <v>38</v>
      </c>
      <c r="J930" s="72" t="s">
        <v>977</v>
      </c>
      <c r="K930" s="97"/>
    </row>
    <row r="931" s="22" customFormat="1" ht="28.5" outlineLevel="1" spans="1:11">
      <c r="A931" s="24"/>
      <c r="B931" s="60" t="str">
        <f t="shared" si="28"/>
        <v>0794</v>
      </c>
      <c r="C931" s="95" t="s">
        <v>978</v>
      </c>
      <c r="D931" s="96" t="s">
        <v>131</v>
      </c>
      <c r="E931" s="96">
        <v>1</v>
      </c>
      <c r="F931" s="96"/>
      <c r="G931" s="96"/>
      <c r="H931" s="96"/>
      <c r="I931" s="96" t="s">
        <v>38</v>
      </c>
      <c r="J931" s="72" t="s">
        <v>979</v>
      </c>
      <c r="K931" s="97"/>
    </row>
    <row r="932" s="22" customFormat="1" ht="28.5" outlineLevel="1" spans="1:11">
      <c r="A932" s="24"/>
      <c r="B932" s="60" t="str">
        <f t="shared" si="28"/>
        <v>0795</v>
      </c>
      <c r="C932" s="95" t="s">
        <v>980</v>
      </c>
      <c r="D932" s="96" t="s">
        <v>131</v>
      </c>
      <c r="E932" s="96">
        <v>1</v>
      </c>
      <c r="F932" s="96"/>
      <c r="G932" s="96"/>
      <c r="H932" s="96"/>
      <c r="I932" s="96" t="s">
        <v>38</v>
      </c>
      <c r="J932" s="72" t="s">
        <v>981</v>
      </c>
      <c r="K932" s="97"/>
    </row>
    <row r="933" s="22" customFormat="1" ht="28.5" outlineLevel="1" spans="1:11">
      <c r="A933" s="24"/>
      <c r="B933" s="60" t="str">
        <f t="shared" si="28"/>
        <v>0796</v>
      </c>
      <c r="C933" s="95" t="s">
        <v>982</v>
      </c>
      <c r="D933" s="96" t="s">
        <v>131</v>
      </c>
      <c r="E933" s="96">
        <v>1</v>
      </c>
      <c r="F933" s="96"/>
      <c r="G933" s="96"/>
      <c r="H933" s="96"/>
      <c r="I933" s="96" t="s">
        <v>38</v>
      </c>
      <c r="J933" s="72" t="s">
        <v>983</v>
      </c>
      <c r="K933" s="97"/>
    </row>
    <row r="934" s="22" customFormat="1" ht="28.5" outlineLevel="1" spans="1:11">
      <c r="A934" s="24"/>
      <c r="B934" s="60" t="str">
        <f t="shared" si="28"/>
        <v>0797</v>
      </c>
      <c r="C934" s="95" t="s">
        <v>984</v>
      </c>
      <c r="D934" s="96" t="s">
        <v>131</v>
      </c>
      <c r="E934" s="96">
        <v>1</v>
      </c>
      <c r="F934" s="96"/>
      <c r="G934" s="96"/>
      <c r="H934" s="96"/>
      <c r="I934" s="96" t="s">
        <v>38</v>
      </c>
      <c r="J934" s="72" t="s">
        <v>985</v>
      </c>
      <c r="K934" s="97"/>
    </row>
    <row r="935" s="22" customFormat="1" ht="28.5" outlineLevel="1" spans="1:11">
      <c r="A935" s="24"/>
      <c r="B935" s="60" t="str">
        <f t="shared" si="28"/>
        <v>0798</v>
      </c>
      <c r="C935" s="95" t="s">
        <v>986</v>
      </c>
      <c r="D935" s="96" t="s">
        <v>131</v>
      </c>
      <c r="E935" s="96">
        <v>1</v>
      </c>
      <c r="F935" s="96"/>
      <c r="G935" s="96"/>
      <c r="H935" s="96"/>
      <c r="I935" s="96" t="s">
        <v>38</v>
      </c>
      <c r="J935" s="72" t="s">
        <v>987</v>
      </c>
      <c r="K935" s="97"/>
    </row>
    <row r="936" s="22" customFormat="1" ht="28.5" outlineLevel="1" spans="1:11">
      <c r="A936" s="24"/>
      <c r="B936" s="60" t="str">
        <f t="shared" si="28"/>
        <v>0799</v>
      </c>
      <c r="C936" s="95" t="s">
        <v>988</v>
      </c>
      <c r="D936" s="96" t="s">
        <v>131</v>
      </c>
      <c r="E936" s="96">
        <v>1</v>
      </c>
      <c r="F936" s="96"/>
      <c r="G936" s="96"/>
      <c r="H936" s="96"/>
      <c r="I936" s="96" t="s">
        <v>38</v>
      </c>
      <c r="J936" s="72" t="s">
        <v>989</v>
      </c>
      <c r="K936" s="97"/>
    </row>
    <row r="937" s="22" customFormat="1" ht="28.5" outlineLevel="1" spans="1:11">
      <c r="A937" s="24"/>
      <c r="B937" s="60" t="str">
        <f t="shared" si="28"/>
        <v>079A</v>
      </c>
      <c r="C937" s="95" t="s">
        <v>990</v>
      </c>
      <c r="D937" s="96" t="s">
        <v>131</v>
      </c>
      <c r="E937" s="96">
        <v>1</v>
      </c>
      <c r="F937" s="96"/>
      <c r="G937" s="96"/>
      <c r="H937" s="96"/>
      <c r="I937" s="96" t="s">
        <v>38</v>
      </c>
      <c r="J937" s="72" t="s">
        <v>991</v>
      </c>
      <c r="K937" s="97"/>
    </row>
    <row r="938" s="22" customFormat="1" ht="28.5" outlineLevel="1" spans="1:11">
      <c r="A938" s="24"/>
      <c r="B938" s="60" t="str">
        <f t="shared" si="28"/>
        <v>079B</v>
      </c>
      <c r="C938" s="95" t="s">
        <v>992</v>
      </c>
      <c r="D938" s="96" t="s">
        <v>131</v>
      </c>
      <c r="E938" s="96">
        <v>1</v>
      </c>
      <c r="F938" s="96"/>
      <c r="G938" s="96"/>
      <c r="H938" s="96"/>
      <c r="I938" s="96" t="s">
        <v>38</v>
      </c>
      <c r="J938" s="72" t="s">
        <v>993</v>
      </c>
      <c r="K938" s="97"/>
    </row>
    <row r="939" s="22" customFormat="1" ht="28.5" outlineLevel="1" spans="1:11">
      <c r="A939" s="24"/>
      <c r="B939" s="60" t="str">
        <f t="shared" si="28"/>
        <v>079C</v>
      </c>
      <c r="C939" s="95" t="s">
        <v>994</v>
      </c>
      <c r="D939" s="96" t="s">
        <v>131</v>
      </c>
      <c r="E939" s="96">
        <v>1</v>
      </c>
      <c r="F939" s="96"/>
      <c r="G939" s="96"/>
      <c r="H939" s="96"/>
      <c r="I939" s="96" t="s">
        <v>38</v>
      </c>
      <c r="J939" s="72" t="s">
        <v>995</v>
      </c>
      <c r="K939" s="97"/>
    </row>
    <row r="940" s="22" customFormat="1" ht="28.5" outlineLevel="1" spans="1:11">
      <c r="A940" s="24"/>
      <c r="B940" s="60" t="str">
        <f t="shared" si="28"/>
        <v>079D</v>
      </c>
      <c r="C940" s="95" t="s">
        <v>996</v>
      </c>
      <c r="D940" s="96" t="s">
        <v>131</v>
      </c>
      <c r="E940" s="96">
        <v>1</v>
      </c>
      <c r="F940" s="96"/>
      <c r="G940" s="96"/>
      <c r="H940" s="96"/>
      <c r="I940" s="96" t="s">
        <v>38</v>
      </c>
      <c r="J940" s="72" t="s">
        <v>997</v>
      </c>
      <c r="K940" s="97"/>
    </row>
    <row r="941" s="22" customFormat="1" ht="28.5" outlineLevel="1" spans="1:11">
      <c r="A941" s="24"/>
      <c r="B941" s="60" t="str">
        <f t="shared" si="28"/>
        <v>079E</v>
      </c>
      <c r="C941" s="95" t="s">
        <v>998</v>
      </c>
      <c r="D941" s="96" t="s">
        <v>131</v>
      </c>
      <c r="E941" s="96">
        <v>1</v>
      </c>
      <c r="F941" s="96"/>
      <c r="G941" s="96"/>
      <c r="H941" s="96"/>
      <c r="I941" s="96" t="s">
        <v>38</v>
      </c>
      <c r="J941" s="72" t="s">
        <v>999</v>
      </c>
      <c r="K941" s="97"/>
    </row>
    <row r="942" s="22" customFormat="1" ht="28.5" outlineLevel="1" spans="1:11">
      <c r="A942" s="24"/>
      <c r="B942" s="60" t="str">
        <f t="shared" si="28"/>
        <v>079F</v>
      </c>
      <c r="C942" s="95" t="s">
        <v>1000</v>
      </c>
      <c r="D942" s="96" t="s">
        <v>131</v>
      </c>
      <c r="E942" s="96">
        <v>1</v>
      </c>
      <c r="F942" s="96"/>
      <c r="G942" s="96"/>
      <c r="H942" s="96"/>
      <c r="I942" s="96" t="s">
        <v>38</v>
      </c>
      <c r="J942" s="72" t="s">
        <v>1001</v>
      </c>
      <c r="K942" s="97"/>
    </row>
    <row r="943" s="22" customFormat="1" ht="28.5" outlineLevel="1" spans="1:11">
      <c r="A943" s="24"/>
      <c r="B943" s="60" t="str">
        <f t="shared" si="28"/>
        <v>07A0</v>
      </c>
      <c r="C943" s="95" t="s">
        <v>1002</v>
      </c>
      <c r="D943" s="96" t="s">
        <v>131</v>
      </c>
      <c r="E943" s="96">
        <v>1</v>
      </c>
      <c r="F943" s="96"/>
      <c r="G943" s="96"/>
      <c r="H943" s="96"/>
      <c r="I943" s="96" t="s">
        <v>38</v>
      </c>
      <c r="J943" s="72" t="s">
        <v>1003</v>
      </c>
      <c r="K943" s="97"/>
    </row>
    <row r="944" s="22" customFormat="1" ht="28.5" outlineLevel="1" spans="1:11">
      <c r="A944" s="24"/>
      <c r="B944" s="60" t="str">
        <f t="shared" si="28"/>
        <v>07A1</v>
      </c>
      <c r="C944" s="95" t="s">
        <v>1004</v>
      </c>
      <c r="D944" s="96" t="s">
        <v>131</v>
      </c>
      <c r="E944" s="96">
        <v>1</v>
      </c>
      <c r="F944" s="96"/>
      <c r="G944" s="96"/>
      <c r="H944" s="96"/>
      <c r="I944" s="96" t="s">
        <v>38</v>
      </c>
      <c r="J944" s="72" t="s">
        <v>1005</v>
      </c>
      <c r="K944" s="97"/>
    </row>
    <row r="945" s="22" customFormat="1" ht="57" outlineLevel="1" spans="1:11">
      <c r="A945" s="24"/>
      <c r="B945" s="60" t="str">
        <f t="shared" si="28"/>
        <v>07A2</v>
      </c>
      <c r="C945" s="95" t="s">
        <v>1006</v>
      </c>
      <c r="D945" s="96" t="s">
        <v>131</v>
      </c>
      <c r="E945" s="96">
        <v>1</v>
      </c>
      <c r="F945" s="96"/>
      <c r="G945" s="96"/>
      <c r="H945" s="96"/>
      <c r="I945" s="96" t="s">
        <v>38</v>
      </c>
      <c r="J945" s="99" t="s">
        <v>1007</v>
      </c>
      <c r="K945" s="97"/>
    </row>
    <row r="946" s="22" customFormat="1" ht="57" outlineLevel="1" spans="1:11">
      <c r="A946" s="24"/>
      <c r="B946" s="60" t="str">
        <f t="shared" si="28"/>
        <v>07A3</v>
      </c>
      <c r="C946" s="95" t="s">
        <v>1008</v>
      </c>
      <c r="D946" s="96" t="s">
        <v>131</v>
      </c>
      <c r="E946" s="96">
        <v>1</v>
      </c>
      <c r="F946" s="96"/>
      <c r="G946" s="96"/>
      <c r="H946" s="96"/>
      <c r="I946" s="96" t="s">
        <v>38</v>
      </c>
      <c r="J946" s="99" t="s">
        <v>1009</v>
      </c>
      <c r="K946" s="97"/>
    </row>
    <row r="947" s="22" customFormat="1" ht="57" outlineLevel="1" spans="1:11">
      <c r="A947" s="24"/>
      <c r="B947" s="60" t="str">
        <f t="shared" si="28"/>
        <v>07A4</v>
      </c>
      <c r="C947" s="95" t="s">
        <v>1010</v>
      </c>
      <c r="D947" s="96" t="s">
        <v>131</v>
      </c>
      <c r="E947" s="96">
        <v>1</v>
      </c>
      <c r="F947" s="96"/>
      <c r="G947" s="96"/>
      <c r="H947" s="96"/>
      <c r="I947" s="96" t="s">
        <v>38</v>
      </c>
      <c r="J947" s="99" t="s">
        <v>1011</v>
      </c>
      <c r="K947" s="97"/>
    </row>
    <row r="948" s="22" customFormat="1" ht="57" outlineLevel="1" spans="1:11">
      <c r="A948" s="24"/>
      <c r="B948" s="60" t="str">
        <f t="shared" si="28"/>
        <v>07A5</v>
      </c>
      <c r="C948" s="95" t="s">
        <v>1012</v>
      </c>
      <c r="D948" s="96" t="s">
        <v>131</v>
      </c>
      <c r="E948" s="96">
        <v>1</v>
      </c>
      <c r="F948" s="96"/>
      <c r="G948" s="96"/>
      <c r="H948" s="96"/>
      <c r="I948" s="96" t="s">
        <v>38</v>
      </c>
      <c r="J948" s="99" t="s">
        <v>1013</v>
      </c>
      <c r="K948" s="97"/>
    </row>
    <row r="949" s="22" customFormat="1" ht="57" outlineLevel="1" spans="1:11">
      <c r="A949" s="24"/>
      <c r="B949" s="60" t="str">
        <f t="shared" si="28"/>
        <v>07A6</v>
      </c>
      <c r="C949" s="95" t="s">
        <v>1014</v>
      </c>
      <c r="D949" s="96" t="s">
        <v>131</v>
      </c>
      <c r="E949" s="96">
        <v>1</v>
      </c>
      <c r="F949" s="96"/>
      <c r="G949" s="96"/>
      <c r="H949" s="96"/>
      <c r="I949" s="96" t="s">
        <v>38</v>
      </c>
      <c r="J949" s="99" t="s">
        <v>1015</v>
      </c>
      <c r="K949" s="97"/>
    </row>
    <row r="950" s="22" customFormat="1" ht="57" outlineLevel="1" spans="1:11">
      <c r="A950" s="24"/>
      <c r="B950" s="60" t="str">
        <f t="shared" si="28"/>
        <v>07A7</v>
      </c>
      <c r="C950" s="95" t="s">
        <v>1016</v>
      </c>
      <c r="D950" s="96" t="s">
        <v>131</v>
      </c>
      <c r="E950" s="96">
        <v>1</v>
      </c>
      <c r="F950" s="96"/>
      <c r="G950" s="96"/>
      <c r="H950" s="96"/>
      <c r="I950" s="96" t="s">
        <v>38</v>
      </c>
      <c r="J950" s="99" t="s">
        <v>1017</v>
      </c>
      <c r="K950" s="97"/>
    </row>
    <row r="951" s="22" customFormat="1" ht="57" outlineLevel="1" spans="1:11">
      <c r="A951" s="24"/>
      <c r="B951" s="60" t="str">
        <f t="shared" si="28"/>
        <v>07A8</v>
      </c>
      <c r="C951" s="95" t="s">
        <v>1018</v>
      </c>
      <c r="D951" s="96" t="s">
        <v>131</v>
      </c>
      <c r="E951" s="96">
        <v>1</v>
      </c>
      <c r="F951" s="96"/>
      <c r="G951" s="96"/>
      <c r="H951" s="96"/>
      <c r="I951" s="96" t="s">
        <v>38</v>
      </c>
      <c r="J951" s="99" t="s">
        <v>1019</v>
      </c>
      <c r="K951" s="97"/>
    </row>
    <row r="952" s="22" customFormat="1" ht="57" outlineLevel="1" spans="1:11">
      <c r="A952" s="24"/>
      <c r="B952" s="60" t="str">
        <f t="shared" si="28"/>
        <v>07A9</v>
      </c>
      <c r="C952" s="95" t="s">
        <v>1020</v>
      </c>
      <c r="D952" s="96" t="s">
        <v>131</v>
      </c>
      <c r="E952" s="96">
        <v>1</v>
      </c>
      <c r="F952" s="96"/>
      <c r="G952" s="96"/>
      <c r="H952" s="96"/>
      <c r="I952" s="96" t="s">
        <v>38</v>
      </c>
      <c r="J952" s="99" t="s">
        <v>1021</v>
      </c>
      <c r="K952" s="97"/>
    </row>
    <row r="953" s="22" customFormat="1" ht="57" outlineLevel="1" spans="1:11">
      <c r="A953" s="24"/>
      <c r="B953" s="60" t="str">
        <f t="shared" si="28"/>
        <v>07AA</v>
      </c>
      <c r="C953" s="95" t="s">
        <v>1022</v>
      </c>
      <c r="D953" s="96" t="s">
        <v>131</v>
      </c>
      <c r="E953" s="96">
        <v>1</v>
      </c>
      <c r="F953" s="96"/>
      <c r="G953" s="96"/>
      <c r="H953" s="96"/>
      <c r="I953" s="96" t="s">
        <v>38</v>
      </c>
      <c r="J953" s="99" t="s">
        <v>1023</v>
      </c>
      <c r="K953" s="97"/>
    </row>
    <row r="954" s="22" customFormat="1" ht="57" outlineLevel="1" spans="1:11">
      <c r="A954" s="24"/>
      <c r="B954" s="60" t="str">
        <f t="shared" si="28"/>
        <v>07AB</v>
      </c>
      <c r="C954" s="95" t="s">
        <v>1024</v>
      </c>
      <c r="D954" s="96" t="s">
        <v>131</v>
      </c>
      <c r="E954" s="96">
        <v>1</v>
      </c>
      <c r="F954" s="96"/>
      <c r="G954" s="96"/>
      <c r="H954" s="96"/>
      <c r="I954" s="96" t="s">
        <v>38</v>
      </c>
      <c r="J954" s="99" t="s">
        <v>1025</v>
      </c>
      <c r="K954" s="97"/>
    </row>
    <row r="955" s="22" customFormat="1" ht="57" outlineLevel="1" spans="1:11">
      <c r="A955" s="24"/>
      <c r="B955" s="60" t="str">
        <f t="shared" si="28"/>
        <v>07AC</v>
      </c>
      <c r="C955" s="95" t="s">
        <v>1026</v>
      </c>
      <c r="D955" s="96" t="s">
        <v>131</v>
      </c>
      <c r="E955" s="96">
        <v>1</v>
      </c>
      <c r="F955" s="96"/>
      <c r="G955" s="96"/>
      <c r="H955" s="96"/>
      <c r="I955" s="96" t="s">
        <v>38</v>
      </c>
      <c r="J955" s="99" t="s">
        <v>1027</v>
      </c>
      <c r="K955" s="97"/>
    </row>
    <row r="956" s="22" customFormat="1" ht="57" outlineLevel="1" spans="1:11">
      <c r="A956" s="24"/>
      <c r="B956" s="60" t="str">
        <f t="shared" si="28"/>
        <v>07AD</v>
      </c>
      <c r="C956" s="95" t="s">
        <v>1028</v>
      </c>
      <c r="D956" s="96" t="s">
        <v>131</v>
      </c>
      <c r="E956" s="96">
        <v>1</v>
      </c>
      <c r="F956" s="96"/>
      <c r="G956" s="96"/>
      <c r="H956" s="96"/>
      <c r="I956" s="96" t="s">
        <v>38</v>
      </c>
      <c r="J956" s="99" t="s">
        <v>1029</v>
      </c>
      <c r="K956" s="97"/>
    </row>
    <row r="957" s="22" customFormat="1" ht="57" outlineLevel="1" spans="1:11">
      <c r="A957" s="24"/>
      <c r="B957" s="60" t="str">
        <f t="shared" si="28"/>
        <v>07AE</v>
      </c>
      <c r="C957" s="95" t="s">
        <v>1030</v>
      </c>
      <c r="D957" s="96" t="s">
        <v>131</v>
      </c>
      <c r="E957" s="96">
        <v>1</v>
      </c>
      <c r="F957" s="96"/>
      <c r="G957" s="96"/>
      <c r="H957" s="96"/>
      <c r="I957" s="96" t="s">
        <v>38</v>
      </c>
      <c r="J957" s="99" t="s">
        <v>1031</v>
      </c>
      <c r="K957" s="97"/>
    </row>
    <row r="958" s="22" customFormat="1" ht="57" outlineLevel="1" spans="1:11">
      <c r="A958" s="24"/>
      <c r="B958" s="60" t="str">
        <f t="shared" si="28"/>
        <v>07AF</v>
      </c>
      <c r="C958" s="95" t="s">
        <v>1032</v>
      </c>
      <c r="D958" s="96" t="s">
        <v>131</v>
      </c>
      <c r="E958" s="96">
        <v>1</v>
      </c>
      <c r="F958" s="96"/>
      <c r="G958" s="96"/>
      <c r="H958" s="96"/>
      <c r="I958" s="96" t="s">
        <v>38</v>
      </c>
      <c r="J958" s="99" t="s">
        <v>1033</v>
      </c>
      <c r="K958" s="97"/>
    </row>
    <row r="959" s="22" customFormat="1" ht="57" outlineLevel="1" spans="1:11">
      <c r="A959" s="24"/>
      <c r="B959" s="60" t="str">
        <f t="shared" si="28"/>
        <v>07B0</v>
      </c>
      <c r="C959" s="95" t="s">
        <v>1034</v>
      </c>
      <c r="D959" s="96" t="s">
        <v>131</v>
      </c>
      <c r="E959" s="96">
        <v>1</v>
      </c>
      <c r="F959" s="96"/>
      <c r="G959" s="96"/>
      <c r="H959" s="96"/>
      <c r="I959" s="96" t="s">
        <v>38</v>
      </c>
      <c r="J959" s="99" t="s">
        <v>1035</v>
      </c>
      <c r="K959" s="97"/>
    </row>
    <row r="960" s="22" customFormat="1" ht="57" outlineLevel="1" spans="1:11">
      <c r="A960" s="24"/>
      <c r="B960" s="60" t="str">
        <f t="shared" si="28"/>
        <v>07B1</v>
      </c>
      <c r="C960" s="95" t="s">
        <v>1036</v>
      </c>
      <c r="D960" s="96" t="s">
        <v>131</v>
      </c>
      <c r="E960" s="96">
        <v>1</v>
      </c>
      <c r="F960" s="96"/>
      <c r="G960" s="96"/>
      <c r="H960" s="96"/>
      <c r="I960" s="96" t="s">
        <v>38</v>
      </c>
      <c r="J960" s="99" t="s">
        <v>1037</v>
      </c>
      <c r="K960" s="97"/>
    </row>
    <row r="961" s="22" customFormat="1" ht="57" outlineLevel="1" spans="1:11">
      <c r="A961" s="24"/>
      <c r="B961" s="60" t="str">
        <f t="shared" si="28"/>
        <v>07B2</v>
      </c>
      <c r="C961" s="95" t="s">
        <v>1038</v>
      </c>
      <c r="D961" s="96" t="s">
        <v>131</v>
      </c>
      <c r="E961" s="96">
        <v>1</v>
      </c>
      <c r="F961" s="96"/>
      <c r="G961" s="96"/>
      <c r="H961" s="96"/>
      <c r="I961" s="96" t="s">
        <v>38</v>
      </c>
      <c r="J961" s="99" t="s">
        <v>1039</v>
      </c>
      <c r="K961" s="97"/>
    </row>
    <row r="962" s="22" customFormat="1" ht="57" outlineLevel="1" spans="1:11">
      <c r="A962" s="24"/>
      <c r="B962" s="60" t="str">
        <f t="shared" si="28"/>
        <v>07B3</v>
      </c>
      <c r="C962" s="95" t="s">
        <v>1040</v>
      </c>
      <c r="D962" s="96" t="s">
        <v>131</v>
      </c>
      <c r="E962" s="96">
        <v>1</v>
      </c>
      <c r="F962" s="96"/>
      <c r="G962" s="96"/>
      <c r="H962" s="96"/>
      <c r="I962" s="96" t="s">
        <v>38</v>
      </c>
      <c r="J962" s="99" t="s">
        <v>1041</v>
      </c>
      <c r="K962" s="97"/>
    </row>
    <row r="963" s="22" customFormat="1" ht="57" outlineLevel="1" spans="1:11">
      <c r="A963" s="24"/>
      <c r="B963" s="60" t="str">
        <f t="shared" si="28"/>
        <v>07B4</v>
      </c>
      <c r="C963" s="95" t="s">
        <v>1042</v>
      </c>
      <c r="D963" s="96" t="s">
        <v>131</v>
      </c>
      <c r="E963" s="96">
        <v>1</v>
      </c>
      <c r="F963" s="96"/>
      <c r="G963" s="96"/>
      <c r="H963" s="96"/>
      <c r="I963" s="96" t="s">
        <v>38</v>
      </c>
      <c r="J963" s="99" t="s">
        <v>1043</v>
      </c>
      <c r="K963" s="97"/>
    </row>
    <row r="964" s="22" customFormat="1" ht="57" outlineLevel="1" spans="1:11">
      <c r="A964" s="24"/>
      <c r="B964" s="60" t="str">
        <f t="shared" si="28"/>
        <v>07B5</v>
      </c>
      <c r="C964" s="95" t="s">
        <v>1044</v>
      </c>
      <c r="D964" s="96" t="s">
        <v>131</v>
      </c>
      <c r="E964" s="96">
        <v>1</v>
      </c>
      <c r="F964" s="96"/>
      <c r="G964" s="96"/>
      <c r="H964" s="96"/>
      <c r="I964" s="96" t="s">
        <v>38</v>
      </c>
      <c r="J964" s="99" t="s">
        <v>1045</v>
      </c>
      <c r="K964" s="97"/>
    </row>
    <row r="965" s="22" customFormat="1" ht="57" outlineLevel="1" spans="1:11">
      <c r="A965" s="24"/>
      <c r="B965" s="60" t="str">
        <f t="shared" si="28"/>
        <v>07B6</v>
      </c>
      <c r="C965" s="95" t="s">
        <v>1046</v>
      </c>
      <c r="D965" s="96" t="s">
        <v>131</v>
      </c>
      <c r="E965" s="96">
        <v>1</v>
      </c>
      <c r="F965" s="96"/>
      <c r="G965" s="96"/>
      <c r="H965" s="96"/>
      <c r="I965" s="96" t="s">
        <v>38</v>
      </c>
      <c r="J965" s="99" t="s">
        <v>1047</v>
      </c>
      <c r="K965" s="97"/>
    </row>
    <row r="966" s="22" customFormat="1" ht="57" outlineLevel="1" spans="1:11">
      <c r="A966" s="24"/>
      <c r="B966" s="60" t="str">
        <f t="shared" si="28"/>
        <v>07B7</v>
      </c>
      <c r="C966" s="95" t="s">
        <v>1048</v>
      </c>
      <c r="D966" s="96" t="s">
        <v>131</v>
      </c>
      <c r="E966" s="96">
        <v>1</v>
      </c>
      <c r="F966" s="96"/>
      <c r="G966" s="96"/>
      <c r="H966" s="96"/>
      <c r="I966" s="96" t="s">
        <v>38</v>
      </c>
      <c r="J966" s="99" t="s">
        <v>1049</v>
      </c>
      <c r="K966" s="97"/>
    </row>
    <row r="967" s="22" customFormat="1" ht="57" outlineLevel="1" spans="1:11">
      <c r="A967" s="24"/>
      <c r="B967" s="60" t="str">
        <f t="shared" si="28"/>
        <v>07B8</v>
      </c>
      <c r="C967" s="95" t="s">
        <v>1050</v>
      </c>
      <c r="D967" s="96" t="s">
        <v>131</v>
      </c>
      <c r="E967" s="96">
        <v>1</v>
      </c>
      <c r="F967" s="96"/>
      <c r="G967" s="96"/>
      <c r="H967" s="96"/>
      <c r="I967" s="96" t="s">
        <v>38</v>
      </c>
      <c r="J967" s="99" t="s">
        <v>1051</v>
      </c>
      <c r="K967" s="97"/>
    </row>
    <row r="968" s="22" customFormat="1" ht="57" outlineLevel="1" spans="1:11">
      <c r="A968" s="24"/>
      <c r="B968" s="60" t="str">
        <f t="shared" si="28"/>
        <v>07B9</v>
      </c>
      <c r="C968" s="95" t="s">
        <v>1052</v>
      </c>
      <c r="D968" s="96" t="s">
        <v>131</v>
      </c>
      <c r="E968" s="96">
        <v>1</v>
      </c>
      <c r="F968" s="96"/>
      <c r="G968" s="96"/>
      <c r="H968" s="96"/>
      <c r="I968" s="96" t="s">
        <v>38</v>
      </c>
      <c r="J968" s="99" t="s">
        <v>1053</v>
      </c>
      <c r="K968" s="97"/>
    </row>
    <row r="969" s="22" customFormat="1" ht="57" outlineLevel="1" spans="1:11">
      <c r="A969" s="24"/>
      <c r="B969" s="60" t="str">
        <f t="shared" si="28"/>
        <v>07BA</v>
      </c>
      <c r="C969" s="95" t="s">
        <v>1054</v>
      </c>
      <c r="D969" s="96" t="s">
        <v>131</v>
      </c>
      <c r="E969" s="96">
        <v>1</v>
      </c>
      <c r="F969" s="96"/>
      <c r="G969" s="96"/>
      <c r="H969" s="96"/>
      <c r="I969" s="96" t="s">
        <v>38</v>
      </c>
      <c r="J969" s="99" t="s">
        <v>1055</v>
      </c>
      <c r="K969" s="97"/>
    </row>
    <row r="970" s="22" customFormat="1" ht="57" outlineLevel="1" spans="1:11">
      <c r="A970" s="24"/>
      <c r="B970" s="60" t="str">
        <f t="shared" si="28"/>
        <v>07BB</v>
      </c>
      <c r="C970" s="95" t="s">
        <v>1056</v>
      </c>
      <c r="D970" s="96" t="s">
        <v>131</v>
      </c>
      <c r="E970" s="96">
        <v>1</v>
      </c>
      <c r="F970" s="96"/>
      <c r="G970" s="96"/>
      <c r="H970" s="96"/>
      <c r="I970" s="96" t="s">
        <v>38</v>
      </c>
      <c r="J970" s="99" t="s">
        <v>1057</v>
      </c>
      <c r="K970" s="97"/>
    </row>
    <row r="971" s="22" customFormat="1" ht="57" outlineLevel="1" spans="1:11">
      <c r="A971" s="24"/>
      <c r="B971" s="60" t="str">
        <f t="shared" si="28"/>
        <v>07BC</v>
      </c>
      <c r="C971" s="95" t="s">
        <v>1058</v>
      </c>
      <c r="D971" s="96" t="s">
        <v>131</v>
      </c>
      <c r="E971" s="96">
        <v>1</v>
      </c>
      <c r="F971" s="96"/>
      <c r="G971" s="96"/>
      <c r="H971" s="96"/>
      <c r="I971" s="96" t="s">
        <v>38</v>
      </c>
      <c r="J971" s="99" t="s">
        <v>1059</v>
      </c>
      <c r="K971" s="97"/>
    </row>
    <row r="972" s="22" customFormat="1" ht="57" outlineLevel="1" spans="1:11">
      <c r="A972" s="24"/>
      <c r="B972" s="60" t="str">
        <f t="shared" si="28"/>
        <v>07BD</v>
      </c>
      <c r="C972" s="95" t="s">
        <v>1060</v>
      </c>
      <c r="D972" s="96" t="s">
        <v>131</v>
      </c>
      <c r="E972" s="96">
        <v>1</v>
      </c>
      <c r="F972" s="96"/>
      <c r="G972" s="96"/>
      <c r="H972" s="96"/>
      <c r="I972" s="96" t="s">
        <v>38</v>
      </c>
      <c r="J972" s="99" t="s">
        <v>1061</v>
      </c>
      <c r="K972" s="97"/>
    </row>
    <row r="973" s="22" customFormat="1" ht="57" outlineLevel="1" spans="1:11">
      <c r="A973" s="24"/>
      <c r="B973" s="60" t="str">
        <f t="shared" si="28"/>
        <v>07BE</v>
      </c>
      <c r="C973" s="95" t="s">
        <v>1062</v>
      </c>
      <c r="D973" s="96" t="s">
        <v>131</v>
      </c>
      <c r="E973" s="96">
        <v>1</v>
      </c>
      <c r="F973" s="96"/>
      <c r="G973" s="96"/>
      <c r="H973" s="96"/>
      <c r="I973" s="96" t="s">
        <v>38</v>
      </c>
      <c r="J973" s="99" t="s">
        <v>1063</v>
      </c>
      <c r="K973" s="97"/>
    </row>
    <row r="974" s="22" customFormat="1" ht="57" outlineLevel="1" spans="1:11">
      <c r="A974" s="24"/>
      <c r="B974" s="60" t="str">
        <f t="shared" si="28"/>
        <v>07BF</v>
      </c>
      <c r="C974" s="95" t="s">
        <v>1064</v>
      </c>
      <c r="D974" s="96" t="s">
        <v>131</v>
      </c>
      <c r="E974" s="96">
        <v>1</v>
      </c>
      <c r="F974" s="96"/>
      <c r="G974" s="96"/>
      <c r="H974" s="96"/>
      <c r="I974" s="96" t="s">
        <v>38</v>
      </c>
      <c r="J974" s="99" t="s">
        <v>1065</v>
      </c>
      <c r="K974" s="97"/>
    </row>
    <row r="975" s="22" customFormat="1" outlineLevel="1" spans="1:11">
      <c r="A975" s="24"/>
      <c r="B975" s="60"/>
      <c r="C975" s="93"/>
      <c r="D975" s="94"/>
      <c r="E975" s="94"/>
      <c r="F975" s="94"/>
      <c r="G975" s="94"/>
      <c r="H975" s="94"/>
      <c r="I975" s="94"/>
      <c r="J975" s="93"/>
      <c r="K975" s="97"/>
    </row>
    <row r="976" s="22" customFormat="1" outlineLevel="1" spans="1:11">
      <c r="A976" s="24"/>
      <c r="B976" s="60"/>
      <c r="C976" s="93"/>
      <c r="D976" s="94"/>
      <c r="E976" s="94"/>
      <c r="F976" s="94"/>
      <c r="G976" s="94"/>
      <c r="H976" s="94"/>
      <c r="I976" s="94"/>
      <c r="J976" s="93"/>
      <c r="K976" s="97"/>
    </row>
    <row r="977" s="22" customFormat="1" outlineLevel="1" spans="1:11">
      <c r="A977" s="24"/>
      <c r="B977" s="60"/>
      <c r="C977" s="93"/>
      <c r="D977" s="94"/>
      <c r="E977" s="94"/>
      <c r="F977" s="94"/>
      <c r="G977" s="94"/>
      <c r="H977" s="94"/>
      <c r="I977" s="94"/>
      <c r="J977" s="93"/>
      <c r="K977" s="97"/>
    </row>
    <row r="978" s="22" customFormat="1" outlineLevel="1" spans="1:11">
      <c r="A978" s="24"/>
      <c r="B978" s="60"/>
      <c r="C978" s="93"/>
      <c r="D978" s="94"/>
      <c r="E978" s="94"/>
      <c r="F978" s="94"/>
      <c r="G978" s="94"/>
      <c r="H978" s="94"/>
      <c r="I978" s="94"/>
      <c r="J978" s="93"/>
      <c r="K978" s="97"/>
    </row>
    <row r="979" s="22" customFormat="1" outlineLevel="1" spans="1:11">
      <c r="A979" s="24"/>
      <c r="B979" s="60"/>
      <c r="C979" s="93"/>
      <c r="D979" s="94"/>
      <c r="E979" s="94"/>
      <c r="F979" s="94"/>
      <c r="G979" s="94"/>
      <c r="H979" s="94"/>
      <c r="I979" s="94"/>
      <c r="J979" s="93"/>
      <c r="K979" s="97"/>
    </row>
    <row r="980" s="22" customFormat="1" outlineLevel="1" spans="1:11">
      <c r="A980" s="24"/>
      <c r="B980" s="60"/>
      <c r="C980" s="93"/>
      <c r="D980" s="94"/>
      <c r="E980" s="94"/>
      <c r="F980" s="94"/>
      <c r="G980" s="94"/>
      <c r="H980" s="94"/>
      <c r="I980" s="94"/>
      <c r="J980" s="93"/>
      <c r="K980" s="97"/>
    </row>
    <row r="981" s="22" customFormat="1" outlineLevel="1" spans="1:11">
      <c r="A981" s="24"/>
      <c r="B981" s="100"/>
      <c r="C981" s="93"/>
      <c r="D981" s="94"/>
      <c r="E981" s="94"/>
      <c r="F981" s="94"/>
      <c r="G981" s="94"/>
      <c r="H981" s="94"/>
      <c r="I981" s="94"/>
      <c r="J981" s="93"/>
      <c r="K981" s="97"/>
    </row>
    <row r="982" s="22" customFormat="1" outlineLevel="1" spans="1:11">
      <c r="A982" s="24"/>
      <c r="B982" s="100"/>
      <c r="C982" s="93"/>
      <c r="D982" s="94"/>
      <c r="E982" s="94"/>
      <c r="F982" s="94"/>
      <c r="G982" s="94"/>
      <c r="H982" s="94"/>
      <c r="I982" s="94"/>
      <c r="J982" s="93"/>
      <c r="K982" s="97"/>
    </row>
    <row r="983" s="22" customFormat="1" spans="1:11">
      <c r="A983" s="24"/>
      <c r="B983" s="81"/>
      <c r="C983" s="67"/>
      <c r="D983" s="24"/>
      <c r="E983" s="24"/>
      <c r="F983" s="24"/>
      <c r="G983" s="24"/>
      <c r="H983" s="24"/>
      <c r="I983" s="24"/>
      <c r="J983" s="67"/>
      <c r="K983" s="24"/>
    </row>
    <row r="984" s="22" customFormat="1" spans="1:11">
      <c r="A984" s="24"/>
      <c r="B984" s="81"/>
      <c r="C984" s="67"/>
      <c r="D984" s="24"/>
      <c r="E984" s="24"/>
      <c r="F984" s="24"/>
      <c r="G984" s="24"/>
      <c r="H984" s="24"/>
      <c r="I984" s="24"/>
      <c r="J984" s="67"/>
      <c r="K984" s="24"/>
    </row>
    <row r="985" s="22" customFormat="1" spans="1:11">
      <c r="A985" s="24"/>
      <c r="B985" s="81"/>
      <c r="C985" s="67"/>
      <c r="D985" s="24"/>
      <c r="E985" s="24"/>
      <c r="F985" s="24"/>
      <c r="G985" s="24"/>
      <c r="H985" s="24"/>
      <c r="I985" s="24"/>
      <c r="J985" s="67"/>
      <c r="K985" s="24"/>
    </row>
    <row r="986" s="22" customFormat="1" spans="1:11">
      <c r="A986" s="24"/>
      <c r="B986" s="81"/>
      <c r="C986" s="67"/>
      <c r="D986" s="24"/>
      <c r="E986" s="24"/>
      <c r="F986" s="24"/>
      <c r="G986" s="24"/>
      <c r="H986" s="24"/>
      <c r="I986" s="24"/>
      <c r="J986" s="67"/>
      <c r="K986" s="24"/>
    </row>
    <row r="987" s="22" customFormat="1" spans="1:11">
      <c r="A987" s="24"/>
      <c r="B987" s="81"/>
      <c r="C987" s="67"/>
      <c r="D987" s="24"/>
      <c r="E987" s="24"/>
      <c r="F987" s="24"/>
      <c r="G987" s="24"/>
      <c r="H987" s="24"/>
      <c r="I987" s="24"/>
      <c r="J987" s="67"/>
      <c r="K987" s="24"/>
    </row>
    <row r="988" spans="1:11">
      <c r="A988" s="65" t="s">
        <v>1066</v>
      </c>
      <c r="B988" s="65"/>
      <c r="C988" s="65"/>
      <c r="D988" s="65"/>
      <c r="E988" s="65"/>
      <c r="F988" s="65"/>
      <c r="G988" s="65"/>
      <c r="H988" s="65"/>
      <c r="I988" s="65"/>
      <c r="J988" s="65"/>
      <c r="K988" s="65"/>
    </row>
    <row r="989" spans="1:11">
      <c r="A989" s="66" t="s">
        <v>1067</v>
      </c>
      <c r="B989" s="66"/>
      <c r="C989" s="66"/>
      <c r="D989" s="66"/>
      <c r="E989" s="66"/>
      <c r="F989" s="66"/>
      <c r="G989" s="66"/>
      <c r="H989" s="66"/>
      <c r="I989" s="66"/>
      <c r="J989" s="66"/>
      <c r="K989" s="66"/>
    </row>
    <row r="990" outlineLevel="1" spans="1:11">
      <c r="A990" s="24"/>
      <c r="B990" s="81" t="str">
        <f>DEC2HEX(2048+ROW()-ROW($B$990),4)</f>
        <v>0800</v>
      </c>
      <c r="C990" s="67" t="s">
        <v>1068</v>
      </c>
      <c r="D990" s="24" t="s">
        <v>89</v>
      </c>
      <c r="E990" s="24">
        <v>1</v>
      </c>
      <c r="F990" s="24" t="s">
        <v>1069</v>
      </c>
      <c r="G990" s="24">
        <v>1</v>
      </c>
      <c r="H990" s="24">
        <v>65535</v>
      </c>
      <c r="I990" s="24" t="s">
        <v>1070</v>
      </c>
      <c r="J990" s="101" t="s">
        <v>1071</v>
      </c>
      <c r="K990" s="24" t="s">
        <v>780</v>
      </c>
    </row>
    <row r="991" ht="28.5" outlineLevel="1" spans="1:11">
      <c r="A991" s="24"/>
      <c r="B991" s="81" t="str">
        <f t="shared" ref="B991:B1001" si="29">DEC2HEX(2048+ROW()-ROW($B$990),4)</f>
        <v>0801</v>
      </c>
      <c r="C991" s="67" t="s">
        <v>1072</v>
      </c>
      <c r="D991" s="24" t="s">
        <v>89</v>
      </c>
      <c r="E991" s="24">
        <v>1</v>
      </c>
      <c r="F991" s="24" t="s">
        <v>1073</v>
      </c>
      <c r="G991" s="24">
        <v>1</v>
      </c>
      <c r="H991" s="24">
        <v>3000</v>
      </c>
      <c r="I991" s="24" t="s">
        <v>1070</v>
      </c>
      <c r="J991" s="101" t="s">
        <v>1074</v>
      </c>
      <c r="K991" s="24" t="s">
        <v>780</v>
      </c>
    </row>
    <row r="992" outlineLevel="1" spans="1:11">
      <c r="A992" s="24"/>
      <c r="B992" s="81" t="str">
        <f t="shared" si="29"/>
        <v>0802</v>
      </c>
      <c r="C992" s="67" t="s">
        <v>1075</v>
      </c>
      <c r="D992" s="24" t="s">
        <v>89</v>
      </c>
      <c r="E992" s="24">
        <v>1</v>
      </c>
      <c r="F992" s="24" t="s">
        <v>1069</v>
      </c>
      <c r="G992" s="24">
        <v>1</v>
      </c>
      <c r="H992" s="24">
        <v>65535</v>
      </c>
      <c r="I992" s="24" t="s">
        <v>1070</v>
      </c>
      <c r="J992" s="101" t="s">
        <v>1076</v>
      </c>
      <c r="K992" s="24" t="s">
        <v>780</v>
      </c>
    </row>
    <row r="993" ht="28.5" outlineLevel="1" spans="1:11">
      <c r="A993" s="24"/>
      <c r="B993" s="81" t="str">
        <f t="shared" si="29"/>
        <v>0803</v>
      </c>
      <c r="C993" s="67" t="s">
        <v>1077</v>
      </c>
      <c r="D993" s="24" t="s">
        <v>89</v>
      </c>
      <c r="E993" s="24">
        <v>1</v>
      </c>
      <c r="F993" s="24" t="s">
        <v>1073</v>
      </c>
      <c r="G993" s="24">
        <v>1</v>
      </c>
      <c r="H993" s="24">
        <v>3000</v>
      </c>
      <c r="I993" s="24" t="s">
        <v>1070</v>
      </c>
      <c r="J993" s="101" t="s">
        <v>1074</v>
      </c>
      <c r="K993" s="24" t="s">
        <v>780</v>
      </c>
    </row>
    <row r="994" outlineLevel="1" spans="1:11">
      <c r="A994" s="24"/>
      <c r="B994" s="60" t="str">
        <f t="shared" si="29"/>
        <v>0804</v>
      </c>
      <c r="C994" s="63" t="s">
        <v>1078</v>
      </c>
      <c r="D994" s="59" t="s">
        <v>89</v>
      </c>
      <c r="E994" s="59">
        <v>0.1</v>
      </c>
      <c r="F994" s="59" t="s">
        <v>44</v>
      </c>
      <c r="G994" s="59">
        <v>0</v>
      </c>
      <c r="H994" s="59">
        <v>65535</v>
      </c>
      <c r="I994" s="59" t="s">
        <v>1070</v>
      </c>
      <c r="J994" s="102" t="s">
        <v>1079</v>
      </c>
      <c r="K994" s="59" t="s">
        <v>61</v>
      </c>
    </row>
    <row r="995" outlineLevel="1" spans="1:11">
      <c r="A995" s="24"/>
      <c r="B995" s="60" t="str">
        <f t="shared" si="29"/>
        <v>0805</v>
      </c>
      <c r="C995" s="63" t="s">
        <v>1080</v>
      </c>
      <c r="D995" s="59" t="s">
        <v>89</v>
      </c>
      <c r="E995" s="59">
        <v>0.1</v>
      </c>
      <c r="F995" s="59" t="s">
        <v>44</v>
      </c>
      <c r="G995" s="59">
        <v>0</v>
      </c>
      <c r="H995" s="59">
        <v>65535</v>
      </c>
      <c r="I995" s="59" t="s">
        <v>1070</v>
      </c>
      <c r="J995" s="102" t="s">
        <v>1081</v>
      </c>
      <c r="K995" s="59" t="s">
        <v>61</v>
      </c>
    </row>
    <row r="996" outlineLevel="1" spans="1:11">
      <c r="A996" s="24"/>
      <c r="B996" s="60" t="str">
        <f t="shared" si="29"/>
        <v>0806</v>
      </c>
      <c r="C996" s="63" t="s">
        <v>1082</v>
      </c>
      <c r="D996" s="59" t="s">
        <v>89</v>
      </c>
      <c r="E996" s="59">
        <v>0.01</v>
      </c>
      <c r="F996" s="59" t="s">
        <v>281</v>
      </c>
      <c r="G996" s="59">
        <v>4000</v>
      </c>
      <c r="H996" s="59">
        <v>7000</v>
      </c>
      <c r="I996" s="59" t="s">
        <v>1070</v>
      </c>
      <c r="J996" s="102" t="s">
        <v>1083</v>
      </c>
      <c r="K996" s="59" t="s">
        <v>61</v>
      </c>
    </row>
    <row r="997" outlineLevel="1" spans="1:11">
      <c r="A997" s="24"/>
      <c r="B997" s="60" t="str">
        <f t="shared" si="29"/>
        <v>0807</v>
      </c>
      <c r="C997" s="63" t="s">
        <v>1084</v>
      </c>
      <c r="D997" s="59" t="s">
        <v>89</v>
      </c>
      <c r="E997" s="59">
        <v>0.01</v>
      </c>
      <c r="F997" s="59" t="s">
        <v>281</v>
      </c>
      <c r="G997" s="59">
        <v>4000</v>
      </c>
      <c r="H997" s="59">
        <v>7000</v>
      </c>
      <c r="I997" s="59" t="s">
        <v>1070</v>
      </c>
      <c r="J997" s="102" t="s">
        <v>1085</v>
      </c>
      <c r="K997" s="59" t="s">
        <v>61</v>
      </c>
    </row>
    <row r="998" outlineLevel="1" spans="1:11">
      <c r="A998" s="24"/>
      <c r="B998" s="60" t="str">
        <f t="shared" si="29"/>
        <v>0808</v>
      </c>
      <c r="C998" s="63" t="s">
        <v>1086</v>
      </c>
      <c r="D998" s="59" t="s">
        <v>89</v>
      </c>
      <c r="E998" s="59">
        <v>0.1</v>
      </c>
      <c r="F998" s="59" t="s">
        <v>44</v>
      </c>
      <c r="G998" s="59">
        <v>0</v>
      </c>
      <c r="H998" s="59">
        <v>65535</v>
      </c>
      <c r="I998" s="59" t="s">
        <v>1070</v>
      </c>
      <c r="J998" s="102" t="s">
        <v>1087</v>
      </c>
      <c r="K998" s="59" t="s">
        <v>61</v>
      </c>
    </row>
    <row r="999" outlineLevel="1" spans="1:11">
      <c r="A999" s="24"/>
      <c r="B999" s="60" t="str">
        <f t="shared" si="29"/>
        <v>0809</v>
      </c>
      <c r="C999" s="63" t="s">
        <v>1088</v>
      </c>
      <c r="D999" s="59" t="s">
        <v>89</v>
      </c>
      <c r="E999" s="59">
        <v>0.1</v>
      </c>
      <c r="F999" s="59" t="s">
        <v>44</v>
      </c>
      <c r="G999" s="59">
        <v>0</v>
      </c>
      <c r="H999" s="59">
        <v>65535</v>
      </c>
      <c r="I999" s="59" t="s">
        <v>1070</v>
      </c>
      <c r="J999" s="102" t="s">
        <v>1089</v>
      </c>
      <c r="K999" s="59" t="s">
        <v>61</v>
      </c>
    </row>
    <row r="1000" outlineLevel="1" spans="1:11">
      <c r="A1000" s="24"/>
      <c r="B1000" s="60" t="str">
        <f t="shared" si="29"/>
        <v>080A</v>
      </c>
      <c r="C1000" s="63" t="s">
        <v>1090</v>
      </c>
      <c r="D1000" s="59" t="s">
        <v>89</v>
      </c>
      <c r="E1000" s="59">
        <v>0.01</v>
      </c>
      <c r="F1000" s="59" t="s">
        <v>281</v>
      </c>
      <c r="G1000" s="59">
        <v>4000</v>
      </c>
      <c r="H1000" s="59">
        <v>7000</v>
      </c>
      <c r="I1000" s="59" t="s">
        <v>1070</v>
      </c>
      <c r="J1000" s="102" t="s">
        <v>1091</v>
      </c>
      <c r="K1000" s="59" t="s">
        <v>61</v>
      </c>
    </row>
    <row r="1001" outlineLevel="1" spans="1:11">
      <c r="A1001" s="24"/>
      <c r="B1001" s="60" t="str">
        <f t="shared" si="29"/>
        <v>080B</v>
      </c>
      <c r="C1001" s="63" t="s">
        <v>1092</v>
      </c>
      <c r="D1001" s="59" t="s">
        <v>89</v>
      </c>
      <c r="E1001" s="59">
        <v>0.01</v>
      </c>
      <c r="F1001" s="59" t="s">
        <v>281</v>
      </c>
      <c r="G1001" s="59">
        <v>4000</v>
      </c>
      <c r="H1001" s="59">
        <v>7000</v>
      </c>
      <c r="I1001" s="59" t="s">
        <v>1070</v>
      </c>
      <c r="J1001" s="102" t="s">
        <v>1093</v>
      </c>
      <c r="K1001" s="59" t="s">
        <v>61</v>
      </c>
    </row>
    <row r="1002" outlineLevel="1" spans="1:11">
      <c r="A1002" s="24"/>
      <c r="B1002" s="81"/>
      <c r="C1002" s="67"/>
      <c r="D1002" s="24"/>
      <c r="E1002" s="24"/>
      <c r="F1002" s="24"/>
      <c r="G1002" s="24"/>
      <c r="H1002" s="24"/>
      <c r="I1002" s="24"/>
      <c r="J1002" s="67"/>
      <c r="K1002" s="24"/>
    </row>
    <row r="1003" spans="1:11">
      <c r="A1003" s="24"/>
      <c r="B1003" s="81"/>
      <c r="C1003" s="67"/>
      <c r="D1003" s="24"/>
      <c r="E1003" s="24"/>
      <c r="F1003" s="24"/>
      <c r="G1003" s="24"/>
      <c r="H1003" s="24"/>
      <c r="I1003" s="24"/>
      <c r="J1003" s="67"/>
      <c r="K1003" s="24"/>
    </row>
    <row r="1004" spans="1:11">
      <c r="A1004" s="66" t="s">
        <v>1094</v>
      </c>
      <c r="B1004" s="66"/>
      <c r="C1004" s="66"/>
      <c r="D1004" s="66"/>
      <c r="E1004" s="66"/>
      <c r="F1004" s="66"/>
      <c r="G1004" s="66"/>
      <c r="H1004" s="66"/>
      <c r="I1004" s="66"/>
      <c r="J1004" s="66"/>
      <c r="K1004" s="66"/>
    </row>
    <row r="1005" ht="114" outlineLevel="1" spans="1:11">
      <c r="A1005" s="24"/>
      <c r="B1005" s="81" t="str">
        <f>DEC2HEX(2112+ROW()-ROW($B$1005),4)</f>
        <v>0840</v>
      </c>
      <c r="C1005" s="67" t="s">
        <v>1095</v>
      </c>
      <c r="D1005" s="24" t="s">
        <v>89</v>
      </c>
      <c r="E1005" s="24"/>
      <c r="F1005" s="24"/>
      <c r="G1005" s="24"/>
      <c r="H1005" s="24"/>
      <c r="I1005" s="24" t="s">
        <v>1070</v>
      </c>
      <c r="J1005" s="101" t="s">
        <v>1096</v>
      </c>
      <c r="K1005" s="24" t="s">
        <v>780</v>
      </c>
    </row>
    <row r="1006" outlineLevel="1" spans="1:11">
      <c r="A1006" s="24"/>
      <c r="B1006" s="81" t="str">
        <f t="shared" ref="B1006:B1019" si="30">DEC2HEX(2112+ROW()-ROW($B$1005),4)</f>
        <v>0841</v>
      </c>
      <c r="C1006" s="67" t="s">
        <v>1097</v>
      </c>
      <c r="D1006" s="24" t="s">
        <v>89</v>
      </c>
      <c r="E1006" s="24">
        <v>0.1</v>
      </c>
      <c r="F1006" s="24" t="s">
        <v>44</v>
      </c>
      <c r="G1006" s="24">
        <v>0</v>
      </c>
      <c r="H1006" s="24">
        <v>65535</v>
      </c>
      <c r="I1006" s="24" t="s">
        <v>1070</v>
      </c>
      <c r="J1006" s="103" t="s">
        <v>1098</v>
      </c>
      <c r="K1006" s="24" t="s">
        <v>780</v>
      </c>
    </row>
    <row r="1007" outlineLevel="1" spans="1:11">
      <c r="A1007" s="24"/>
      <c r="B1007" s="60" t="str">
        <f t="shared" si="30"/>
        <v>0842</v>
      </c>
      <c r="C1007" s="63" t="s">
        <v>1099</v>
      </c>
      <c r="D1007" s="59" t="s">
        <v>89</v>
      </c>
      <c r="E1007" s="59">
        <v>0.1</v>
      </c>
      <c r="F1007" s="59" t="s">
        <v>44</v>
      </c>
      <c r="G1007" s="59">
        <v>0</v>
      </c>
      <c r="H1007" s="59">
        <v>65535</v>
      </c>
      <c r="I1007" s="59" t="s">
        <v>1070</v>
      </c>
      <c r="J1007" s="103" t="s">
        <v>1100</v>
      </c>
      <c r="K1007" s="59" t="s">
        <v>61</v>
      </c>
    </row>
    <row r="1008" outlineLevel="1" spans="1:11">
      <c r="A1008" s="24"/>
      <c r="B1008" s="60" t="str">
        <f t="shared" si="30"/>
        <v>0843</v>
      </c>
      <c r="C1008" s="63" t="s">
        <v>1101</v>
      </c>
      <c r="D1008" s="59" t="s">
        <v>89</v>
      </c>
      <c r="E1008" s="59">
        <v>10</v>
      </c>
      <c r="F1008" s="59" t="s">
        <v>1102</v>
      </c>
      <c r="G1008" s="59">
        <v>1</v>
      </c>
      <c r="H1008" s="59">
        <v>65535</v>
      </c>
      <c r="I1008" s="59" t="s">
        <v>1070</v>
      </c>
      <c r="J1008" s="103" t="s">
        <v>1103</v>
      </c>
      <c r="K1008" s="59" t="s">
        <v>780</v>
      </c>
    </row>
    <row r="1009" ht="28.5" outlineLevel="1" spans="1:11">
      <c r="A1009" s="24"/>
      <c r="B1009" s="60" t="str">
        <f t="shared" si="30"/>
        <v>0844</v>
      </c>
      <c r="C1009" s="63" t="s">
        <v>1104</v>
      </c>
      <c r="D1009" s="59" t="s">
        <v>89</v>
      </c>
      <c r="E1009" s="59">
        <v>0.1</v>
      </c>
      <c r="F1009" s="59" t="s">
        <v>44</v>
      </c>
      <c r="G1009" s="59">
        <v>0</v>
      </c>
      <c r="H1009" s="59">
        <v>65535</v>
      </c>
      <c r="I1009" s="59" t="s">
        <v>1070</v>
      </c>
      <c r="J1009" s="103" t="s">
        <v>1105</v>
      </c>
      <c r="K1009" s="59" t="s">
        <v>61</v>
      </c>
    </row>
    <row r="1010" outlineLevel="1" spans="1:11">
      <c r="A1010" s="24"/>
      <c r="B1010" s="60" t="str">
        <f t="shared" si="30"/>
        <v>0845</v>
      </c>
      <c r="C1010" s="63" t="s">
        <v>1106</v>
      </c>
      <c r="D1010" s="59" t="s">
        <v>89</v>
      </c>
      <c r="E1010" s="59">
        <v>10</v>
      </c>
      <c r="F1010" s="59" t="s">
        <v>1102</v>
      </c>
      <c r="G1010" s="59">
        <v>1</v>
      </c>
      <c r="H1010" s="59">
        <v>65535</v>
      </c>
      <c r="I1010" s="59" t="s">
        <v>1070</v>
      </c>
      <c r="J1010" s="103" t="s">
        <v>1107</v>
      </c>
      <c r="K1010" s="59" t="s">
        <v>780</v>
      </c>
    </row>
    <row r="1011" outlineLevel="1" spans="1:11">
      <c r="A1011" s="24"/>
      <c r="B1011" s="60" t="str">
        <f t="shared" si="30"/>
        <v>0846</v>
      </c>
      <c r="C1011" s="63" t="s">
        <v>1108</v>
      </c>
      <c r="D1011" s="59" t="s">
        <v>89</v>
      </c>
      <c r="E1011" s="59">
        <v>0.1</v>
      </c>
      <c r="F1011" s="59" t="s">
        <v>44</v>
      </c>
      <c r="G1011" s="59">
        <v>0</v>
      </c>
      <c r="H1011" s="59">
        <v>65535</v>
      </c>
      <c r="I1011" s="59" t="s">
        <v>1070</v>
      </c>
      <c r="J1011" s="103" t="s">
        <v>1109</v>
      </c>
      <c r="K1011" s="59" t="s">
        <v>61</v>
      </c>
    </row>
    <row r="1012" outlineLevel="1" spans="1:11">
      <c r="A1012" s="24"/>
      <c r="B1012" s="60" t="str">
        <f t="shared" si="30"/>
        <v>0847</v>
      </c>
      <c r="C1012" s="63" t="s">
        <v>1110</v>
      </c>
      <c r="D1012" s="59" t="s">
        <v>89</v>
      </c>
      <c r="E1012" s="59">
        <v>10</v>
      </c>
      <c r="F1012" s="59" t="s">
        <v>1102</v>
      </c>
      <c r="G1012" s="59">
        <v>1</v>
      </c>
      <c r="H1012" s="59">
        <v>65535</v>
      </c>
      <c r="I1012" s="59" t="s">
        <v>1070</v>
      </c>
      <c r="J1012" s="103" t="s">
        <v>1111</v>
      </c>
      <c r="K1012" s="59" t="s">
        <v>780</v>
      </c>
    </row>
    <row r="1013" outlineLevel="1" spans="1:11">
      <c r="A1013" s="24"/>
      <c r="B1013" s="60" t="str">
        <f t="shared" si="30"/>
        <v>0848</v>
      </c>
      <c r="C1013" s="63" t="s">
        <v>1112</v>
      </c>
      <c r="D1013" s="59" t="s">
        <v>89</v>
      </c>
      <c r="E1013" s="59">
        <v>0.1</v>
      </c>
      <c r="F1013" s="59" t="s">
        <v>44</v>
      </c>
      <c r="G1013" s="59">
        <v>0</v>
      </c>
      <c r="H1013" s="59">
        <v>65535</v>
      </c>
      <c r="I1013" s="59" t="s">
        <v>1070</v>
      </c>
      <c r="J1013" s="103" t="s">
        <v>1113</v>
      </c>
      <c r="K1013" s="59" t="s">
        <v>61</v>
      </c>
    </row>
    <row r="1014" outlineLevel="1" spans="1:11">
      <c r="A1014" s="24"/>
      <c r="B1014" s="60" t="str">
        <f t="shared" si="30"/>
        <v>0849</v>
      </c>
      <c r="C1014" s="63" t="s">
        <v>1114</v>
      </c>
      <c r="D1014" s="59" t="s">
        <v>89</v>
      </c>
      <c r="E1014" s="59">
        <v>10</v>
      </c>
      <c r="F1014" s="59" t="s">
        <v>1102</v>
      </c>
      <c r="G1014" s="59">
        <v>1</v>
      </c>
      <c r="H1014" s="59">
        <v>65535</v>
      </c>
      <c r="I1014" s="59" t="s">
        <v>1070</v>
      </c>
      <c r="J1014" s="103" t="s">
        <v>1115</v>
      </c>
      <c r="K1014" s="59" t="s">
        <v>780</v>
      </c>
    </row>
    <row r="1015" ht="28.5" outlineLevel="1" spans="1:11">
      <c r="A1015" s="24"/>
      <c r="B1015" s="60" t="str">
        <f t="shared" si="30"/>
        <v>084A</v>
      </c>
      <c r="C1015" s="63" t="s">
        <v>1116</v>
      </c>
      <c r="D1015" s="59" t="s">
        <v>89</v>
      </c>
      <c r="E1015" s="59">
        <v>0.1</v>
      </c>
      <c r="F1015" s="59" t="s">
        <v>44</v>
      </c>
      <c r="G1015" s="59">
        <v>0</v>
      </c>
      <c r="H1015" s="59">
        <v>65535</v>
      </c>
      <c r="I1015" s="59" t="s">
        <v>1070</v>
      </c>
      <c r="J1015" s="103" t="s">
        <v>1117</v>
      </c>
      <c r="K1015" s="59" t="s">
        <v>61</v>
      </c>
    </row>
    <row r="1016" ht="28.5" outlineLevel="1" spans="1:11">
      <c r="A1016" s="24"/>
      <c r="B1016" s="60" t="str">
        <f t="shared" si="30"/>
        <v>084B</v>
      </c>
      <c r="C1016" s="63" t="s">
        <v>1118</v>
      </c>
      <c r="D1016" s="59" t="s">
        <v>89</v>
      </c>
      <c r="E1016" s="59">
        <v>10</v>
      </c>
      <c r="F1016" s="59" t="s">
        <v>1102</v>
      </c>
      <c r="G1016" s="59">
        <v>1</v>
      </c>
      <c r="H1016" s="59">
        <v>65535</v>
      </c>
      <c r="I1016" s="59" t="s">
        <v>1070</v>
      </c>
      <c r="J1016" s="103" t="s">
        <v>1119</v>
      </c>
      <c r="K1016" s="59" t="s">
        <v>780</v>
      </c>
    </row>
    <row r="1017" outlineLevel="1" spans="1:11">
      <c r="A1017" s="24"/>
      <c r="B1017" s="60" t="str">
        <f t="shared" si="30"/>
        <v>084C</v>
      </c>
      <c r="C1017" s="63" t="s">
        <v>1120</v>
      </c>
      <c r="D1017" s="59" t="s">
        <v>89</v>
      </c>
      <c r="E1017" s="59">
        <v>0.1</v>
      </c>
      <c r="F1017" s="59" t="s">
        <v>44</v>
      </c>
      <c r="G1017" s="59">
        <v>0</v>
      </c>
      <c r="H1017" s="59">
        <v>65535</v>
      </c>
      <c r="I1017" s="59" t="s">
        <v>1070</v>
      </c>
      <c r="J1017" s="103" t="s">
        <v>1121</v>
      </c>
      <c r="K1017" s="59" t="s">
        <v>61</v>
      </c>
    </row>
    <row r="1018" outlineLevel="1" spans="1:11">
      <c r="A1018" s="24"/>
      <c r="B1018" s="81" t="str">
        <f t="shared" si="30"/>
        <v>084D</v>
      </c>
      <c r="C1018" s="67" t="s">
        <v>1122</v>
      </c>
      <c r="D1018" s="24" t="s">
        <v>89</v>
      </c>
      <c r="E1018" s="24">
        <v>10</v>
      </c>
      <c r="F1018" s="24" t="s">
        <v>1102</v>
      </c>
      <c r="G1018" s="24">
        <v>1</v>
      </c>
      <c r="H1018" s="24">
        <v>65535</v>
      </c>
      <c r="I1018" s="24" t="s">
        <v>1070</v>
      </c>
      <c r="J1018" s="101" t="s">
        <v>1123</v>
      </c>
      <c r="K1018" s="24" t="s">
        <v>780</v>
      </c>
    </row>
    <row r="1019" outlineLevel="1" spans="1:11">
      <c r="A1019" s="24"/>
      <c r="B1019" s="81" t="str">
        <f t="shared" si="30"/>
        <v>084E</v>
      </c>
      <c r="C1019" s="67" t="s">
        <v>1124</v>
      </c>
      <c r="D1019" s="24" t="s">
        <v>89</v>
      </c>
      <c r="E1019" s="24">
        <v>0.1</v>
      </c>
      <c r="F1019" s="24" t="s">
        <v>44</v>
      </c>
      <c r="G1019" s="24">
        <v>0</v>
      </c>
      <c r="H1019" s="24">
        <v>65535</v>
      </c>
      <c r="I1019" s="24" t="s">
        <v>1070</v>
      </c>
      <c r="J1019" s="101" t="s">
        <v>1125</v>
      </c>
      <c r="K1019" s="24" t="s">
        <v>780</v>
      </c>
    </row>
    <row r="1020" outlineLevel="1" spans="1:11">
      <c r="A1020" s="24"/>
      <c r="B1020" s="81"/>
      <c r="C1020" s="67"/>
      <c r="D1020" s="24"/>
      <c r="E1020" s="24"/>
      <c r="F1020" s="24"/>
      <c r="G1020" s="24"/>
      <c r="H1020" s="24"/>
      <c r="I1020" s="24"/>
      <c r="J1020" s="67"/>
      <c r="K1020" s="24"/>
    </row>
    <row r="1021" outlineLevel="1" spans="1:11">
      <c r="A1021" s="24"/>
      <c r="B1021" s="81"/>
      <c r="C1021" s="67"/>
      <c r="D1021" s="24"/>
      <c r="E1021" s="24"/>
      <c r="F1021" s="24"/>
      <c r="G1021" s="24"/>
      <c r="H1021" s="24"/>
      <c r="I1021" s="24"/>
      <c r="J1021" s="67"/>
      <c r="K1021" s="24"/>
    </row>
    <row r="1022" outlineLevel="1" spans="1:11">
      <c r="A1022" s="24"/>
      <c r="B1022" s="81"/>
      <c r="C1022" s="67"/>
      <c r="D1022" s="24"/>
      <c r="E1022" s="24"/>
      <c r="F1022" s="24"/>
      <c r="G1022" s="24"/>
      <c r="H1022" s="24"/>
      <c r="I1022" s="24"/>
      <c r="J1022" s="67"/>
      <c r="K1022" s="24"/>
    </row>
    <row r="1023" spans="1:11">
      <c r="A1023" s="24"/>
      <c r="B1023" s="81"/>
      <c r="C1023" s="67"/>
      <c r="D1023" s="24"/>
      <c r="E1023" s="24"/>
      <c r="F1023" s="24"/>
      <c r="G1023" s="24"/>
      <c r="H1023" s="24"/>
      <c r="I1023" s="24"/>
      <c r="J1023" s="67"/>
      <c r="K1023" s="24"/>
    </row>
    <row r="1024" spans="1:11">
      <c r="A1024" s="66" t="s">
        <v>1126</v>
      </c>
      <c r="B1024" s="66"/>
      <c r="C1024" s="66"/>
      <c r="D1024" s="66"/>
      <c r="E1024" s="66"/>
      <c r="F1024" s="66"/>
      <c r="G1024" s="66"/>
      <c r="H1024" s="66"/>
      <c r="I1024" s="66"/>
      <c r="J1024" s="66"/>
      <c r="K1024" s="66"/>
    </row>
    <row r="1025" ht="101.25" customHeight="1" outlineLevel="1" spans="1:11">
      <c r="A1025" s="24"/>
      <c r="B1025" s="81" t="str">
        <f>DEC2HEX(2176+ROW()-ROW($B$1025),4)</f>
        <v>0880</v>
      </c>
      <c r="C1025" s="67" t="s">
        <v>1127</v>
      </c>
      <c r="D1025" s="24" t="s">
        <v>89</v>
      </c>
      <c r="E1025" s="24"/>
      <c r="F1025" s="24"/>
      <c r="G1025" s="24"/>
      <c r="H1025" s="24"/>
      <c r="I1025" s="24" t="s">
        <v>1070</v>
      </c>
      <c r="J1025" s="101" t="s">
        <v>1128</v>
      </c>
      <c r="K1025" s="24" t="s">
        <v>780</v>
      </c>
    </row>
    <row r="1026" outlineLevel="1" spans="1:11">
      <c r="A1026" s="24"/>
      <c r="B1026" s="104" t="str">
        <f t="shared" ref="B1026:B1038" si="31">DEC2HEX(2176+ROW()-ROW($B$1025),4)</f>
        <v>0881</v>
      </c>
      <c r="C1026" s="78" t="s">
        <v>1129</v>
      </c>
      <c r="D1026" s="105" t="s">
        <v>89</v>
      </c>
      <c r="E1026" s="105">
        <v>0.01</v>
      </c>
      <c r="F1026" s="105" t="s">
        <v>281</v>
      </c>
      <c r="G1026" s="105">
        <v>4000</v>
      </c>
      <c r="H1026" s="105">
        <v>7000</v>
      </c>
      <c r="I1026" s="105" t="s">
        <v>1070</v>
      </c>
      <c r="J1026" s="102" t="s">
        <v>1130</v>
      </c>
      <c r="K1026" s="105" t="s">
        <v>780</v>
      </c>
    </row>
    <row r="1027" outlineLevel="1" spans="1:11">
      <c r="A1027" s="24"/>
      <c r="B1027" s="104" t="str">
        <f t="shared" si="31"/>
        <v>0882</v>
      </c>
      <c r="C1027" s="78" t="s">
        <v>1131</v>
      </c>
      <c r="D1027" s="105" t="s">
        <v>89</v>
      </c>
      <c r="E1027" s="105">
        <v>0.01</v>
      </c>
      <c r="F1027" s="105" t="s">
        <v>281</v>
      </c>
      <c r="G1027" s="105">
        <v>4000</v>
      </c>
      <c r="H1027" s="105">
        <v>7000</v>
      </c>
      <c r="I1027" s="105" t="s">
        <v>1070</v>
      </c>
      <c r="J1027" s="102" t="s">
        <v>1132</v>
      </c>
      <c r="K1027" s="105" t="s">
        <v>61</v>
      </c>
    </row>
    <row r="1028" outlineLevel="1" spans="1:11">
      <c r="A1028" s="24"/>
      <c r="B1028" s="104" t="str">
        <f t="shared" si="31"/>
        <v>0883</v>
      </c>
      <c r="C1028" s="78" t="s">
        <v>1133</v>
      </c>
      <c r="D1028" s="105" t="s">
        <v>89</v>
      </c>
      <c r="E1028" s="105">
        <v>10</v>
      </c>
      <c r="F1028" s="105" t="s">
        <v>1102</v>
      </c>
      <c r="G1028" s="105">
        <v>1</v>
      </c>
      <c r="H1028" s="105">
        <v>65535</v>
      </c>
      <c r="I1028" s="105" t="s">
        <v>1070</v>
      </c>
      <c r="J1028" s="102" t="s">
        <v>1134</v>
      </c>
      <c r="K1028" s="105" t="s">
        <v>780</v>
      </c>
    </row>
    <row r="1029" customHeight="1" outlineLevel="1" spans="1:11">
      <c r="A1029" s="24"/>
      <c r="B1029" s="104" t="str">
        <f t="shared" si="31"/>
        <v>0884</v>
      </c>
      <c r="C1029" s="78" t="s">
        <v>1135</v>
      </c>
      <c r="D1029" s="105" t="s">
        <v>89</v>
      </c>
      <c r="E1029" s="105">
        <v>0.01</v>
      </c>
      <c r="F1029" s="105" t="s">
        <v>281</v>
      </c>
      <c r="G1029" s="105">
        <v>4000</v>
      </c>
      <c r="H1029" s="105">
        <v>7000</v>
      </c>
      <c r="I1029" s="105" t="s">
        <v>1070</v>
      </c>
      <c r="J1029" s="102" t="s">
        <v>1136</v>
      </c>
      <c r="K1029" s="105" t="s">
        <v>61</v>
      </c>
    </row>
    <row r="1030" customHeight="1" outlineLevel="1" spans="1:11">
      <c r="A1030" s="24"/>
      <c r="B1030" s="104" t="str">
        <f t="shared" si="31"/>
        <v>0885</v>
      </c>
      <c r="C1030" s="78" t="s">
        <v>1137</v>
      </c>
      <c r="D1030" s="105" t="s">
        <v>89</v>
      </c>
      <c r="E1030" s="105">
        <v>10</v>
      </c>
      <c r="F1030" s="105" t="s">
        <v>1102</v>
      </c>
      <c r="G1030" s="105">
        <v>1</v>
      </c>
      <c r="H1030" s="105">
        <v>65535</v>
      </c>
      <c r="I1030" s="105" t="s">
        <v>1070</v>
      </c>
      <c r="J1030" s="102" t="s">
        <v>1138</v>
      </c>
      <c r="K1030" s="105" t="s">
        <v>780</v>
      </c>
    </row>
    <row r="1031" customHeight="1" outlineLevel="1" spans="1:11">
      <c r="A1031" s="24"/>
      <c r="B1031" s="104" t="str">
        <f t="shared" si="31"/>
        <v>0886</v>
      </c>
      <c r="C1031" s="78" t="s">
        <v>1139</v>
      </c>
      <c r="D1031" s="105" t="s">
        <v>89</v>
      </c>
      <c r="E1031" s="105">
        <v>0.01</v>
      </c>
      <c r="F1031" s="105" t="s">
        <v>281</v>
      </c>
      <c r="G1031" s="105">
        <v>4000</v>
      </c>
      <c r="H1031" s="105">
        <v>7000</v>
      </c>
      <c r="I1031" s="105" t="s">
        <v>1070</v>
      </c>
      <c r="J1031" s="102" t="s">
        <v>1140</v>
      </c>
      <c r="K1031" s="105" t="s">
        <v>61</v>
      </c>
    </row>
    <row r="1032" customHeight="1" outlineLevel="1" spans="1:11">
      <c r="A1032" s="24"/>
      <c r="B1032" s="104" t="str">
        <f t="shared" si="31"/>
        <v>0887</v>
      </c>
      <c r="C1032" s="78" t="s">
        <v>1141</v>
      </c>
      <c r="D1032" s="105" t="s">
        <v>89</v>
      </c>
      <c r="E1032" s="105">
        <v>10</v>
      </c>
      <c r="F1032" s="105" t="s">
        <v>1102</v>
      </c>
      <c r="G1032" s="105">
        <v>1</v>
      </c>
      <c r="H1032" s="105">
        <v>65535</v>
      </c>
      <c r="I1032" s="105" t="s">
        <v>1070</v>
      </c>
      <c r="J1032" s="102" t="s">
        <v>1142</v>
      </c>
      <c r="K1032" s="105" t="s">
        <v>780</v>
      </c>
    </row>
    <row r="1033" ht="28.5" outlineLevel="1" spans="1:11">
      <c r="A1033" s="24"/>
      <c r="B1033" s="104" t="str">
        <f t="shared" si="31"/>
        <v>0888</v>
      </c>
      <c r="C1033" s="78" t="s">
        <v>1143</v>
      </c>
      <c r="D1033" s="105" t="s">
        <v>89</v>
      </c>
      <c r="E1033" s="105">
        <v>0.01</v>
      </c>
      <c r="F1033" s="105" t="s">
        <v>281</v>
      </c>
      <c r="G1033" s="105">
        <v>4000</v>
      </c>
      <c r="H1033" s="105">
        <v>7000</v>
      </c>
      <c r="I1033" s="105" t="s">
        <v>1070</v>
      </c>
      <c r="J1033" s="102" t="s">
        <v>1144</v>
      </c>
      <c r="K1033" s="105" t="s">
        <v>61</v>
      </c>
    </row>
    <row r="1034" ht="28.5" outlineLevel="1" spans="1:11">
      <c r="A1034" s="24"/>
      <c r="B1034" s="104" t="str">
        <f t="shared" si="31"/>
        <v>0889</v>
      </c>
      <c r="C1034" s="78" t="s">
        <v>1145</v>
      </c>
      <c r="D1034" s="105" t="s">
        <v>89</v>
      </c>
      <c r="E1034" s="105">
        <v>10</v>
      </c>
      <c r="F1034" s="105" t="s">
        <v>1102</v>
      </c>
      <c r="G1034" s="105">
        <v>1</v>
      </c>
      <c r="H1034" s="105">
        <v>65535</v>
      </c>
      <c r="I1034" s="105" t="s">
        <v>1070</v>
      </c>
      <c r="J1034" s="102" t="s">
        <v>1146</v>
      </c>
      <c r="K1034" s="105" t="s">
        <v>780</v>
      </c>
    </row>
    <row r="1035" customHeight="1" outlineLevel="1" spans="1:11">
      <c r="A1035" s="24"/>
      <c r="B1035" s="104" t="str">
        <f t="shared" si="31"/>
        <v>088A</v>
      </c>
      <c r="C1035" s="78" t="s">
        <v>1147</v>
      </c>
      <c r="D1035" s="105" t="s">
        <v>89</v>
      </c>
      <c r="E1035" s="105">
        <v>0.01</v>
      </c>
      <c r="F1035" s="105" t="s">
        <v>281</v>
      </c>
      <c r="G1035" s="105">
        <v>4000</v>
      </c>
      <c r="H1035" s="105">
        <v>7000</v>
      </c>
      <c r="I1035" s="105" t="s">
        <v>1070</v>
      </c>
      <c r="J1035" s="102" t="s">
        <v>1148</v>
      </c>
      <c r="K1035" s="105" t="s">
        <v>61</v>
      </c>
    </row>
    <row r="1036" customHeight="1" outlineLevel="1" spans="1:11">
      <c r="A1036" s="24"/>
      <c r="B1036" s="104" t="str">
        <f t="shared" si="31"/>
        <v>088B</v>
      </c>
      <c r="C1036" s="78" t="s">
        <v>1149</v>
      </c>
      <c r="D1036" s="105" t="s">
        <v>89</v>
      </c>
      <c r="E1036" s="105">
        <v>10</v>
      </c>
      <c r="F1036" s="105" t="s">
        <v>1102</v>
      </c>
      <c r="G1036" s="105">
        <v>1</v>
      </c>
      <c r="H1036" s="105">
        <v>65535</v>
      </c>
      <c r="I1036" s="105" t="s">
        <v>1070</v>
      </c>
      <c r="J1036" s="102" t="s">
        <v>1150</v>
      </c>
      <c r="K1036" s="105" t="s">
        <v>780</v>
      </c>
    </row>
    <row r="1037" customHeight="1" outlineLevel="1" spans="1:11">
      <c r="A1037" s="24"/>
      <c r="B1037" s="104" t="str">
        <f t="shared" si="31"/>
        <v>088C</v>
      </c>
      <c r="C1037" s="78" t="s">
        <v>1151</v>
      </c>
      <c r="D1037" s="105" t="s">
        <v>89</v>
      </c>
      <c r="E1037" s="105">
        <v>0.01</v>
      </c>
      <c r="F1037" s="105" t="s">
        <v>281</v>
      </c>
      <c r="G1037" s="105">
        <v>4000</v>
      </c>
      <c r="H1037" s="105">
        <v>7000</v>
      </c>
      <c r="I1037" s="105" t="s">
        <v>1070</v>
      </c>
      <c r="J1037" s="102" t="s">
        <v>1152</v>
      </c>
      <c r="K1037" s="105" t="s">
        <v>61</v>
      </c>
    </row>
    <row r="1038" customHeight="1" outlineLevel="1" spans="1:11">
      <c r="A1038" s="24"/>
      <c r="B1038" s="104" t="str">
        <f t="shared" si="31"/>
        <v>088D</v>
      </c>
      <c r="C1038" s="78" t="s">
        <v>1153</v>
      </c>
      <c r="D1038" s="105" t="s">
        <v>89</v>
      </c>
      <c r="E1038" s="105">
        <v>10</v>
      </c>
      <c r="F1038" s="105" t="s">
        <v>1102</v>
      </c>
      <c r="G1038" s="105">
        <v>1</v>
      </c>
      <c r="H1038" s="105">
        <v>65535</v>
      </c>
      <c r="I1038" s="105" t="s">
        <v>1070</v>
      </c>
      <c r="J1038" s="102" t="s">
        <v>1154</v>
      </c>
      <c r="K1038" s="105" t="s">
        <v>780</v>
      </c>
    </row>
    <row r="1039" outlineLevel="1" spans="1:11">
      <c r="A1039" s="24"/>
      <c r="B1039" s="81"/>
      <c r="C1039" s="67"/>
      <c r="D1039" s="24"/>
      <c r="E1039" s="24"/>
      <c r="F1039" s="24"/>
      <c r="G1039" s="24"/>
      <c r="H1039" s="24"/>
      <c r="I1039" s="24"/>
      <c r="J1039" s="67"/>
      <c r="K1039" s="24"/>
    </row>
    <row r="1040" outlineLevel="1" spans="1:11">
      <c r="A1040" s="24"/>
      <c r="B1040" s="81"/>
      <c r="C1040" s="67"/>
      <c r="D1040" s="24"/>
      <c r="E1040" s="24"/>
      <c r="F1040" s="24"/>
      <c r="G1040" s="24"/>
      <c r="H1040" s="24"/>
      <c r="I1040" s="24"/>
      <c r="J1040" s="67"/>
      <c r="K1040" s="24"/>
    </row>
    <row r="1041" spans="1:11">
      <c r="A1041" s="24"/>
      <c r="B1041" s="81"/>
      <c r="C1041" s="67"/>
      <c r="D1041" s="24"/>
      <c r="E1041" s="24"/>
      <c r="F1041" s="24"/>
      <c r="G1041" s="24"/>
      <c r="H1041" s="24"/>
      <c r="I1041" s="24"/>
      <c r="J1041" s="67"/>
      <c r="K1041" s="24"/>
    </row>
    <row r="1042" spans="1:11">
      <c r="A1042" s="66" t="s">
        <v>1155</v>
      </c>
      <c r="B1042" s="66"/>
      <c r="C1042" s="66"/>
      <c r="D1042" s="66"/>
      <c r="E1042" s="66"/>
      <c r="F1042" s="66"/>
      <c r="G1042" s="66"/>
      <c r="H1042" s="66"/>
      <c r="I1042" s="66"/>
      <c r="J1042" s="66"/>
      <c r="K1042" s="66"/>
    </row>
    <row r="1043" ht="67.5" customHeight="1" outlineLevel="1" spans="1:11">
      <c r="A1043" s="24"/>
      <c r="B1043" s="81" t="str">
        <f>DEC2HEX(2240+ROW()-ROW($B$1043),4)</f>
        <v>08C0</v>
      </c>
      <c r="C1043" s="67" t="s">
        <v>1156</v>
      </c>
      <c r="D1043" s="24" t="s">
        <v>89</v>
      </c>
      <c r="E1043" s="24"/>
      <c r="F1043" s="24"/>
      <c r="G1043" s="24"/>
      <c r="H1043" s="24"/>
      <c r="I1043" s="24" t="s">
        <v>1070</v>
      </c>
      <c r="J1043" s="109" t="s">
        <v>1157</v>
      </c>
      <c r="K1043" s="24" t="s">
        <v>780</v>
      </c>
    </row>
    <row r="1044" outlineLevel="1" spans="1:11">
      <c r="A1044" s="24"/>
      <c r="B1044" s="81" t="str">
        <f t="shared" ref="B1044:B1055" si="32">DEC2HEX(2240+ROW()-ROW($B$1043),4)</f>
        <v>08C1</v>
      </c>
      <c r="C1044" s="67" t="s">
        <v>1158</v>
      </c>
      <c r="D1044" s="24" t="s">
        <v>89</v>
      </c>
      <c r="E1044" s="24">
        <v>1</v>
      </c>
      <c r="F1044" s="24" t="s">
        <v>782</v>
      </c>
      <c r="G1044" s="24">
        <v>1</v>
      </c>
      <c r="H1044" s="24">
        <v>65535</v>
      </c>
      <c r="I1044" s="24" t="s">
        <v>1070</v>
      </c>
      <c r="J1044" s="109" t="s">
        <v>1159</v>
      </c>
      <c r="K1044" s="24" t="s">
        <v>780</v>
      </c>
    </row>
    <row r="1045" outlineLevel="1" spans="1:11">
      <c r="A1045" s="24"/>
      <c r="B1045" s="81" t="str">
        <f t="shared" si="32"/>
        <v>08C2</v>
      </c>
      <c r="C1045" s="67" t="s">
        <v>1160</v>
      </c>
      <c r="D1045" s="24" t="s">
        <v>89</v>
      </c>
      <c r="E1045" s="24">
        <v>10</v>
      </c>
      <c r="F1045" s="24" t="s">
        <v>1102</v>
      </c>
      <c r="G1045" s="24">
        <v>1</v>
      </c>
      <c r="H1045" s="24">
        <v>65535</v>
      </c>
      <c r="I1045" s="24" t="s">
        <v>1070</v>
      </c>
      <c r="J1045" s="109" t="s">
        <v>1161</v>
      </c>
      <c r="K1045" s="24" t="s">
        <v>780</v>
      </c>
    </row>
    <row r="1046" outlineLevel="1" spans="1:11">
      <c r="A1046" s="24"/>
      <c r="B1046" s="81" t="str">
        <f t="shared" si="32"/>
        <v>08C3</v>
      </c>
      <c r="C1046" s="67" t="s">
        <v>1162</v>
      </c>
      <c r="D1046" s="24" t="s">
        <v>89</v>
      </c>
      <c r="E1046" s="24">
        <v>1</v>
      </c>
      <c r="F1046" s="24" t="s">
        <v>782</v>
      </c>
      <c r="G1046" s="24">
        <v>1</v>
      </c>
      <c r="H1046" s="24">
        <v>65535</v>
      </c>
      <c r="I1046" s="24" t="s">
        <v>1070</v>
      </c>
      <c r="J1046" s="109" t="s">
        <v>1163</v>
      </c>
      <c r="K1046" s="24" t="s">
        <v>780</v>
      </c>
    </row>
    <row r="1047" outlineLevel="1" spans="1:11">
      <c r="A1047" s="24"/>
      <c r="B1047" s="81" t="str">
        <f t="shared" si="32"/>
        <v>08C4</v>
      </c>
      <c r="C1047" s="67" t="s">
        <v>1164</v>
      </c>
      <c r="D1047" s="24" t="s">
        <v>89</v>
      </c>
      <c r="E1047" s="24">
        <v>10</v>
      </c>
      <c r="F1047" s="24" t="s">
        <v>1102</v>
      </c>
      <c r="G1047" s="24">
        <v>1</v>
      </c>
      <c r="H1047" s="24">
        <v>65535</v>
      </c>
      <c r="I1047" s="24" t="s">
        <v>1070</v>
      </c>
      <c r="J1047" s="109" t="s">
        <v>1165</v>
      </c>
      <c r="K1047" s="24" t="s">
        <v>780</v>
      </c>
    </row>
    <row r="1048" outlineLevel="1" spans="1:11">
      <c r="A1048" s="24"/>
      <c r="B1048" s="81" t="str">
        <f t="shared" si="32"/>
        <v>08C5</v>
      </c>
      <c r="C1048" s="69" t="s">
        <v>1166</v>
      </c>
      <c r="D1048" s="76" t="s">
        <v>89</v>
      </c>
      <c r="E1048" s="76">
        <v>1</v>
      </c>
      <c r="F1048" s="76" t="s">
        <v>782</v>
      </c>
      <c r="G1048" s="76">
        <v>1</v>
      </c>
      <c r="H1048" s="76">
        <v>65535</v>
      </c>
      <c r="I1048" s="76" t="s">
        <v>1070</v>
      </c>
      <c r="J1048" s="109" t="s">
        <v>1167</v>
      </c>
      <c r="K1048" s="24" t="s">
        <v>780</v>
      </c>
    </row>
    <row r="1049" outlineLevel="1" spans="1:11">
      <c r="A1049" s="24"/>
      <c r="B1049" s="81" t="str">
        <f t="shared" si="32"/>
        <v>08C6</v>
      </c>
      <c r="C1049" s="69" t="s">
        <v>1168</v>
      </c>
      <c r="D1049" s="76" t="s">
        <v>89</v>
      </c>
      <c r="E1049" s="76">
        <v>10</v>
      </c>
      <c r="F1049" s="76" t="s">
        <v>1102</v>
      </c>
      <c r="G1049" s="76">
        <v>1</v>
      </c>
      <c r="H1049" s="76">
        <v>65535</v>
      </c>
      <c r="I1049" s="76" t="s">
        <v>1070</v>
      </c>
      <c r="J1049" s="109" t="s">
        <v>1169</v>
      </c>
      <c r="K1049" s="24" t="s">
        <v>780</v>
      </c>
    </row>
    <row r="1050" outlineLevel="1" spans="1:11">
      <c r="A1050" s="24"/>
      <c r="B1050" s="81" t="str">
        <f t="shared" si="32"/>
        <v>08C7</v>
      </c>
      <c r="C1050" s="67" t="s">
        <v>1170</v>
      </c>
      <c r="D1050" s="24" t="s">
        <v>131</v>
      </c>
      <c r="E1050" s="24">
        <v>1</v>
      </c>
      <c r="F1050" s="24" t="s">
        <v>782</v>
      </c>
      <c r="G1050" s="24">
        <v>-32768</v>
      </c>
      <c r="H1050" s="24">
        <v>32767</v>
      </c>
      <c r="I1050" s="24" t="s">
        <v>1070</v>
      </c>
      <c r="J1050" s="109" t="s">
        <v>1171</v>
      </c>
      <c r="K1050" s="24" t="s">
        <v>780</v>
      </c>
    </row>
    <row r="1051" outlineLevel="1" spans="1:11">
      <c r="A1051" s="24"/>
      <c r="B1051" s="81" t="str">
        <f t="shared" si="32"/>
        <v>08C8</v>
      </c>
      <c r="C1051" s="67" t="s">
        <v>1172</v>
      </c>
      <c r="D1051" s="24" t="s">
        <v>131</v>
      </c>
      <c r="E1051" s="24">
        <v>1</v>
      </c>
      <c r="F1051" s="24" t="s">
        <v>782</v>
      </c>
      <c r="G1051" s="24">
        <v>-32768</v>
      </c>
      <c r="H1051" s="24">
        <v>32767</v>
      </c>
      <c r="I1051" s="24" t="s">
        <v>1070</v>
      </c>
      <c r="J1051" s="109" t="s">
        <v>1173</v>
      </c>
      <c r="K1051" s="24" t="s">
        <v>780</v>
      </c>
    </row>
    <row r="1052" s="22" customFormat="1" outlineLevel="1" spans="1:11">
      <c r="A1052" s="24"/>
      <c r="B1052" s="81" t="str">
        <f t="shared" si="32"/>
        <v>08C9</v>
      </c>
      <c r="C1052" s="67" t="s">
        <v>1174</v>
      </c>
      <c r="D1052" s="24" t="s">
        <v>131</v>
      </c>
      <c r="E1052" s="24">
        <v>1</v>
      </c>
      <c r="F1052" s="24" t="s">
        <v>782</v>
      </c>
      <c r="G1052" s="24">
        <v>-32768</v>
      </c>
      <c r="H1052" s="24">
        <v>32767</v>
      </c>
      <c r="I1052" s="24" t="s">
        <v>1070</v>
      </c>
      <c r="J1052" s="109" t="s">
        <v>1175</v>
      </c>
      <c r="K1052" s="24" t="s">
        <v>780</v>
      </c>
    </row>
    <row r="1053" s="22" customFormat="1" outlineLevel="1" spans="1:11">
      <c r="A1053" s="24"/>
      <c r="B1053" s="81" t="str">
        <f t="shared" si="32"/>
        <v>08CA</v>
      </c>
      <c r="C1053" s="67" t="s">
        <v>1176</v>
      </c>
      <c r="D1053" s="24" t="s">
        <v>89</v>
      </c>
      <c r="E1053" s="24">
        <v>0.01</v>
      </c>
      <c r="F1053" s="24" t="s">
        <v>584</v>
      </c>
      <c r="G1053" s="24">
        <v>1</v>
      </c>
      <c r="H1053" s="24">
        <v>65535</v>
      </c>
      <c r="I1053" s="24" t="s">
        <v>1070</v>
      </c>
      <c r="J1053" s="109" t="s">
        <v>1177</v>
      </c>
      <c r="K1053" s="24" t="s">
        <v>780</v>
      </c>
    </row>
    <row r="1054" s="22" customFormat="1" outlineLevel="1" spans="1:11">
      <c r="A1054" s="24"/>
      <c r="B1054" s="81" t="str">
        <f t="shared" si="32"/>
        <v>08CB</v>
      </c>
      <c r="C1054" s="67" t="s">
        <v>1178</v>
      </c>
      <c r="D1054" s="24" t="s">
        <v>89</v>
      </c>
      <c r="E1054" s="24">
        <v>0.01</v>
      </c>
      <c r="F1054" s="24" t="s">
        <v>584</v>
      </c>
      <c r="G1054" s="24">
        <v>1</v>
      </c>
      <c r="H1054" s="24">
        <v>65535</v>
      </c>
      <c r="I1054" s="24" t="s">
        <v>1070</v>
      </c>
      <c r="J1054" s="109" t="s">
        <v>1179</v>
      </c>
      <c r="K1054" s="24" t="s">
        <v>780</v>
      </c>
    </row>
    <row r="1055" s="22" customFormat="1" outlineLevel="1" spans="1:11">
      <c r="A1055" s="24"/>
      <c r="B1055" s="81" t="str">
        <f t="shared" si="32"/>
        <v>08CC</v>
      </c>
      <c r="C1055" s="67" t="s">
        <v>1180</v>
      </c>
      <c r="D1055" s="24" t="s">
        <v>89</v>
      </c>
      <c r="E1055" s="24">
        <v>0.01</v>
      </c>
      <c r="F1055" s="24" t="s">
        <v>584</v>
      </c>
      <c r="G1055" s="24">
        <v>1</v>
      </c>
      <c r="H1055" s="24">
        <v>65535</v>
      </c>
      <c r="I1055" s="24" t="s">
        <v>1070</v>
      </c>
      <c r="J1055" s="109" t="s">
        <v>1181</v>
      </c>
      <c r="K1055" s="24" t="s">
        <v>780</v>
      </c>
    </row>
    <row r="1056" s="22" customFormat="1" outlineLevel="1" spans="1:11">
      <c r="A1056" s="24"/>
      <c r="B1056" s="81"/>
      <c r="C1056" s="67"/>
      <c r="D1056" s="24"/>
      <c r="E1056" s="24"/>
      <c r="F1056" s="24"/>
      <c r="G1056" s="24"/>
      <c r="H1056" s="24"/>
      <c r="I1056" s="24"/>
      <c r="J1056" s="67"/>
      <c r="K1056" s="24"/>
    </row>
    <row r="1057" s="22" customFormat="1" outlineLevel="1" spans="1:11">
      <c r="A1057" s="24"/>
      <c r="B1057" s="81"/>
      <c r="C1057" s="67"/>
      <c r="D1057" s="24"/>
      <c r="E1057" s="24"/>
      <c r="F1057" s="24"/>
      <c r="G1057" s="24"/>
      <c r="H1057" s="24"/>
      <c r="I1057" s="24"/>
      <c r="J1057" s="67"/>
      <c r="K1057" s="24"/>
    </row>
    <row r="1058" s="22" customFormat="1" outlineLevel="1" spans="1:11">
      <c r="A1058" s="24"/>
      <c r="B1058" s="81"/>
      <c r="C1058" s="67"/>
      <c r="D1058" s="24"/>
      <c r="E1058" s="24"/>
      <c r="F1058" s="24"/>
      <c r="G1058" s="24"/>
      <c r="H1058" s="24"/>
      <c r="I1058" s="24"/>
      <c r="J1058" s="67"/>
      <c r="K1058" s="24"/>
    </row>
    <row r="1059" outlineLevel="1" spans="1:11">
      <c r="A1059" s="24"/>
      <c r="B1059" s="81"/>
      <c r="C1059" s="67"/>
      <c r="D1059" s="24"/>
      <c r="E1059" s="24"/>
      <c r="F1059" s="24"/>
      <c r="G1059" s="24"/>
      <c r="H1059" s="24"/>
      <c r="I1059" s="24"/>
      <c r="J1059" s="67"/>
      <c r="K1059" s="24"/>
    </row>
    <row r="1060" spans="1:11">
      <c r="A1060" s="24"/>
      <c r="B1060" s="81"/>
      <c r="C1060" s="67"/>
      <c r="D1060" s="24"/>
      <c r="E1060" s="24"/>
      <c r="F1060" s="24"/>
      <c r="G1060" s="24"/>
      <c r="H1060" s="24"/>
      <c r="I1060" s="24"/>
      <c r="J1060" s="67"/>
      <c r="K1060" s="24"/>
    </row>
    <row r="1061" spans="1:11">
      <c r="A1061" s="66" t="s">
        <v>1182</v>
      </c>
      <c r="B1061" s="66"/>
      <c r="C1061" s="66"/>
      <c r="D1061" s="66"/>
      <c r="E1061" s="66"/>
      <c r="F1061" s="66"/>
      <c r="G1061" s="66"/>
      <c r="H1061" s="66"/>
      <c r="I1061" s="66"/>
      <c r="J1061" s="66"/>
      <c r="K1061" s="66"/>
    </row>
    <row r="1062" ht="144.75" customHeight="1" outlineLevel="1" spans="1:11">
      <c r="A1062" s="24"/>
      <c r="B1062" s="81" t="str">
        <f>DEC2HEX(2304+ROW()-ROW($B$1062),4)</f>
        <v>0900</v>
      </c>
      <c r="C1062" s="67" t="s">
        <v>1183</v>
      </c>
      <c r="D1062" s="24" t="s">
        <v>89</v>
      </c>
      <c r="E1062" s="24"/>
      <c r="F1062" s="24"/>
      <c r="G1062" s="24"/>
      <c r="H1062" s="24"/>
      <c r="I1062" s="24" t="s">
        <v>1070</v>
      </c>
      <c r="J1062" s="101" t="s">
        <v>1184</v>
      </c>
      <c r="K1062" s="24" t="s">
        <v>780</v>
      </c>
    </row>
    <row r="1063" outlineLevel="1" spans="1:11">
      <c r="A1063" s="24"/>
      <c r="B1063" s="81" t="str">
        <f t="shared" ref="B1063:B1084" si="33">DEC2HEX(2304+ROW()-ROW($B$1062),4)</f>
        <v>0901</v>
      </c>
      <c r="C1063" s="67" t="s">
        <v>1185</v>
      </c>
      <c r="D1063" s="24" t="s">
        <v>89</v>
      </c>
      <c r="E1063" s="24">
        <v>0.1</v>
      </c>
      <c r="F1063" s="24" t="s">
        <v>584</v>
      </c>
      <c r="G1063" s="24">
        <v>0</v>
      </c>
      <c r="H1063" s="24">
        <v>1000</v>
      </c>
      <c r="I1063" s="24" t="s">
        <v>1070</v>
      </c>
      <c r="J1063" s="101" t="s">
        <v>1186</v>
      </c>
      <c r="K1063" s="24" t="s">
        <v>780</v>
      </c>
    </row>
    <row r="1064" outlineLevel="1" spans="1:11">
      <c r="A1064" s="24"/>
      <c r="B1064" s="81" t="str">
        <f t="shared" si="33"/>
        <v>0902</v>
      </c>
      <c r="C1064" s="67" t="s">
        <v>1187</v>
      </c>
      <c r="D1064" s="24" t="s">
        <v>89</v>
      </c>
      <c r="E1064" s="24">
        <v>1</v>
      </c>
      <c r="F1064" s="24" t="s">
        <v>1073</v>
      </c>
      <c r="G1064" s="24">
        <v>1</v>
      </c>
      <c r="H1064" s="24">
        <v>300</v>
      </c>
      <c r="I1064" s="24" t="s">
        <v>1070</v>
      </c>
      <c r="J1064" s="101" t="s">
        <v>1188</v>
      </c>
      <c r="K1064" s="24" t="s">
        <v>780</v>
      </c>
    </row>
    <row r="1065" ht="28.5" outlineLevel="1" spans="1:11">
      <c r="A1065" s="24"/>
      <c r="B1065" s="81" t="str">
        <f t="shared" si="33"/>
        <v>0903</v>
      </c>
      <c r="C1065" s="67" t="s">
        <v>1189</v>
      </c>
      <c r="D1065" s="24" t="s">
        <v>89</v>
      </c>
      <c r="E1065" s="24">
        <v>0.1</v>
      </c>
      <c r="F1065" s="24" t="s">
        <v>44</v>
      </c>
      <c r="G1065" s="24">
        <v>0</v>
      </c>
      <c r="H1065" s="24">
        <v>65535</v>
      </c>
      <c r="I1065" s="24" t="s">
        <v>1070</v>
      </c>
      <c r="J1065" s="101" t="s">
        <v>1190</v>
      </c>
      <c r="K1065" s="24" t="s">
        <v>780</v>
      </c>
    </row>
    <row r="1066" ht="28.5" outlineLevel="1" spans="1:11">
      <c r="A1066" s="24"/>
      <c r="B1066" s="81" t="str">
        <f t="shared" si="33"/>
        <v>0904</v>
      </c>
      <c r="C1066" s="67" t="s">
        <v>1191</v>
      </c>
      <c r="D1066" s="24" t="s">
        <v>89</v>
      </c>
      <c r="E1066" s="24">
        <v>0.1</v>
      </c>
      <c r="F1066" s="24" t="s">
        <v>44</v>
      </c>
      <c r="G1066" s="24">
        <v>0</v>
      </c>
      <c r="H1066" s="24">
        <v>65535</v>
      </c>
      <c r="I1066" s="24" t="s">
        <v>1070</v>
      </c>
      <c r="J1066" s="101" t="s">
        <v>1192</v>
      </c>
      <c r="K1066" s="24" t="s">
        <v>780</v>
      </c>
    </row>
    <row r="1067" ht="28.5" outlineLevel="1" spans="1:11">
      <c r="A1067" s="24"/>
      <c r="B1067" s="81" t="str">
        <f t="shared" si="33"/>
        <v>0905</v>
      </c>
      <c r="C1067" s="67" t="s">
        <v>1193</v>
      </c>
      <c r="D1067" s="24" t="s">
        <v>131</v>
      </c>
      <c r="E1067" s="24">
        <v>1</v>
      </c>
      <c r="F1067" s="24" t="s">
        <v>584</v>
      </c>
      <c r="G1067" s="24">
        <v>-100</v>
      </c>
      <c r="H1067" s="24">
        <v>100</v>
      </c>
      <c r="I1067" s="24" t="s">
        <v>1070</v>
      </c>
      <c r="J1067" s="101" t="s">
        <v>1194</v>
      </c>
      <c r="K1067" s="24" t="s">
        <v>780</v>
      </c>
    </row>
    <row r="1068" outlineLevel="1" spans="1:11">
      <c r="A1068" s="24"/>
      <c r="B1068" s="81" t="str">
        <f t="shared" si="33"/>
        <v>0906</v>
      </c>
      <c r="C1068" s="67" t="s">
        <v>1195</v>
      </c>
      <c r="D1068" s="24" t="s">
        <v>89</v>
      </c>
      <c r="E1068" s="24">
        <v>1</v>
      </c>
      <c r="F1068" s="24" t="s">
        <v>1073</v>
      </c>
      <c r="G1068" s="24">
        <v>1</v>
      </c>
      <c r="H1068" s="24">
        <v>300</v>
      </c>
      <c r="I1068" s="24" t="s">
        <v>1070</v>
      </c>
      <c r="J1068" s="101" t="s">
        <v>1196</v>
      </c>
      <c r="K1068" s="24" t="s">
        <v>780</v>
      </c>
    </row>
    <row r="1069" ht="28.5" outlineLevel="1" spans="1:11">
      <c r="A1069" s="24"/>
      <c r="B1069" s="81" t="str">
        <f t="shared" si="33"/>
        <v>0907</v>
      </c>
      <c r="C1069" s="67" t="s">
        <v>1197</v>
      </c>
      <c r="D1069" s="24" t="s">
        <v>89</v>
      </c>
      <c r="E1069" s="24">
        <v>0.1</v>
      </c>
      <c r="F1069" s="24" t="s">
        <v>44</v>
      </c>
      <c r="G1069" s="24">
        <v>0</v>
      </c>
      <c r="H1069" s="24">
        <v>65535</v>
      </c>
      <c r="I1069" s="24" t="s">
        <v>1070</v>
      </c>
      <c r="J1069" s="101" t="s">
        <v>1198</v>
      </c>
      <c r="K1069" s="24" t="s">
        <v>780</v>
      </c>
    </row>
    <row r="1070" ht="28.5" outlineLevel="1" spans="1:11">
      <c r="A1070" s="24"/>
      <c r="B1070" s="81" t="str">
        <f t="shared" si="33"/>
        <v>0908</v>
      </c>
      <c r="C1070" s="67" t="s">
        <v>1199</v>
      </c>
      <c r="D1070" s="24" t="s">
        <v>89</v>
      </c>
      <c r="E1070" s="24">
        <v>0.1</v>
      </c>
      <c r="F1070" s="24" t="s">
        <v>44</v>
      </c>
      <c r="G1070" s="24">
        <v>0</v>
      </c>
      <c r="H1070" s="24">
        <v>65535</v>
      </c>
      <c r="I1070" s="24" t="s">
        <v>1070</v>
      </c>
      <c r="J1070" s="101" t="s">
        <v>1200</v>
      </c>
      <c r="K1070" s="24" t="s">
        <v>780</v>
      </c>
    </row>
    <row r="1071" ht="28.5" outlineLevel="1" spans="1:11">
      <c r="A1071" s="24"/>
      <c r="B1071" s="81" t="str">
        <f t="shared" si="33"/>
        <v>0909</v>
      </c>
      <c r="C1071" s="67" t="s">
        <v>1201</v>
      </c>
      <c r="D1071" s="24" t="s">
        <v>131</v>
      </c>
      <c r="E1071" s="24">
        <v>1</v>
      </c>
      <c r="F1071" s="24" t="s">
        <v>584</v>
      </c>
      <c r="G1071" s="24">
        <v>-100</v>
      </c>
      <c r="H1071" s="24">
        <v>100</v>
      </c>
      <c r="I1071" s="24" t="s">
        <v>1070</v>
      </c>
      <c r="J1071" s="101" t="s">
        <v>1202</v>
      </c>
      <c r="K1071" s="24" t="s">
        <v>780</v>
      </c>
    </row>
    <row r="1072" outlineLevel="1" spans="1:11">
      <c r="A1072" s="24"/>
      <c r="B1072" s="81" t="str">
        <f t="shared" si="33"/>
        <v>090A</v>
      </c>
      <c r="C1072" s="67" t="s">
        <v>1203</v>
      </c>
      <c r="D1072" s="24" t="s">
        <v>131</v>
      </c>
      <c r="E1072" s="24">
        <v>1</v>
      </c>
      <c r="F1072" s="24" t="s">
        <v>584</v>
      </c>
      <c r="G1072" s="24">
        <v>-100</v>
      </c>
      <c r="H1072" s="24">
        <v>100</v>
      </c>
      <c r="I1072" s="24" t="s">
        <v>1070</v>
      </c>
      <c r="J1072" s="101" t="s">
        <v>1204</v>
      </c>
      <c r="K1072" s="24" t="s">
        <v>780</v>
      </c>
    </row>
    <row r="1073" outlineLevel="1" spans="1:11">
      <c r="A1073" s="24"/>
      <c r="B1073" s="81" t="str">
        <f t="shared" si="33"/>
        <v>090B</v>
      </c>
      <c r="C1073" s="67" t="s">
        <v>1205</v>
      </c>
      <c r="D1073" s="24" t="s">
        <v>131</v>
      </c>
      <c r="E1073" s="24">
        <v>1</v>
      </c>
      <c r="F1073" s="24" t="s">
        <v>584</v>
      </c>
      <c r="G1073" s="24">
        <v>-100</v>
      </c>
      <c r="H1073" s="24">
        <v>100</v>
      </c>
      <c r="I1073" s="24" t="s">
        <v>1070</v>
      </c>
      <c r="J1073" s="101" t="s">
        <v>1206</v>
      </c>
      <c r="K1073" s="24" t="s">
        <v>780</v>
      </c>
    </row>
    <row r="1074" outlineLevel="1" spans="1:11">
      <c r="A1074" s="24"/>
      <c r="B1074" s="81" t="str">
        <f t="shared" si="33"/>
        <v>090C</v>
      </c>
      <c r="C1074" s="67" t="s">
        <v>1207</v>
      </c>
      <c r="D1074" s="24" t="s">
        <v>131</v>
      </c>
      <c r="E1074" s="24">
        <v>1</v>
      </c>
      <c r="F1074" s="24" t="s">
        <v>584</v>
      </c>
      <c r="G1074" s="24">
        <v>-100</v>
      </c>
      <c r="H1074" s="24">
        <v>100</v>
      </c>
      <c r="I1074" s="24" t="s">
        <v>1070</v>
      </c>
      <c r="J1074" s="101" t="s">
        <v>1208</v>
      </c>
      <c r="K1074" s="24" t="s">
        <v>780</v>
      </c>
    </row>
    <row r="1075" outlineLevel="1" spans="1:11">
      <c r="A1075" s="24"/>
      <c r="B1075" s="81" t="str">
        <f t="shared" si="33"/>
        <v>090D</v>
      </c>
      <c r="C1075" s="67" t="s">
        <v>1209</v>
      </c>
      <c r="D1075" s="24" t="s">
        <v>131</v>
      </c>
      <c r="E1075" s="24">
        <v>1</v>
      </c>
      <c r="F1075" s="24" t="s">
        <v>584</v>
      </c>
      <c r="G1075" s="24">
        <v>-100</v>
      </c>
      <c r="H1075" s="24">
        <v>100</v>
      </c>
      <c r="I1075" s="24" t="s">
        <v>1070</v>
      </c>
      <c r="J1075" s="101" t="s">
        <v>1210</v>
      </c>
      <c r="K1075" s="24" t="s">
        <v>780</v>
      </c>
    </row>
    <row r="1076" outlineLevel="1" spans="1:11">
      <c r="A1076" s="24"/>
      <c r="B1076" s="81" t="str">
        <f t="shared" si="33"/>
        <v>090E</v>
      </c>
      <c r="C1076" s="67" t="s">
        <v>1211</v>
      </c>
      <c r="D1076" s="24" t="s">
        <v>131</v>
      </c>
      <c r="E1076" s="24">
        <v>1</v>
      </c>
      <c r="F1076" s="24" t="s">
        <v>584</v>
      </c>
      <c r="G1076" s="24">
        <v>-100</v>
      </c>
      <c r="H1076" s="24">
        <v>100</v>
      </c>
      <c r="I1076" s="24" t="s">
        <v>1070</v>
      </c>
      <c r="J1076" s="101" t="s">
        <v>1212</v>
      </c>
      <c r="K1076" s="24" t="s">
        <v>780</v>
      </c>
    </row>
    <row r="1077" outlineLevel="1" spans="1:11">
      <c r="A1077" s="24"/>
      <c r="B1077" s="81" t="str">
        <f t="shared" si="33"/>
        <v>090F</v>
      </c>
      <c r="C1077" s="67" t="s">
        <v>1213</v>
      </c>
      <c r="D1077" s="24" t="s">
        <v>131</v>
      </c>
      <c r="E1077" s="24">
        <v>1</v>
      </c>
      <c r="F1077" s="24" t="s">
        <v>584</v>
      </c>
      <c r="G1077" s="24">
        <v>-100</v>
      </c>
      <c r="H1077" s="24">
        <v>100</v>
      </c>
      <c r="I1077" s="24" t="s">
        <v>1070</v>
      </c>
      <c r="J1077" s="101" t="s">
        <v>1214</v>
      </c>
      <c r="K1077" s="24" t="s">
        <v>780</v>
      </c>
    </row>
    <row r="1078" outlineLevel="1" spans="1:11">
      <c r="A1078" s="24"/>
      <c r="B1078" s="81" t="str">
        <f t="shared" si="33"/>
        <v>0910</v>
      </c>
      <c r="C1078" s="67" t="s">
        <v>1215</v>
      </c>
      <c r="D1078" s="24" t="s">
        <v>131</v>
      </c>
      <c r="E1078" s="24">
        <v>1</v>
      </c>
      <c r="F1078" s="24" t="s">
        <v>584</v>
      </c>
      <c r="G1078" s="24">
        <v>-100</v>
      </c>
      <c r="H1078" s="24">
        <v>100</v>
      </c>
      <c r="I1078" s="24" t="s">
        <v>1070</v>
      </c>
      <c r="J1078" s="101" t="s">
        <v>1216</v>
      </c>
      <c r="K1078" s="24" t="s">
        <v>780</v>
      </c>
    </row>
    <row r="1079" outlineLevel="1" spans="1:11">
      <c r="A1079" s="24"/>
      <c r="B1079" s="81" t="str">
        <f t="shared" si="33"/>
        <v>0911</v>
      </c>
      <c r="C1079" s="67" t="s">
        <v>1217</v>
      </c>
      <c r="D1079" s="24" t="s">
        <v>131</v>
      </c>
      <c r="E1079" s="24">
        <v>1</v>
      </c>
      <c r="F1079" s="24" t="s">
        <v>584</v>
      </c>
      <c r="G1079" s="24">
        <v>-100</v>
      </c>
      <c r="H1079" s="24">
        <v>100</v>
      </c>
      <c r="I1079" s="24" t="s">
        <v>1070</v>
      </c>
      <c r="J1079" s="101" t="s">
        <v>1218</v>
      </c>
      <c r="K1079" s="24" t="s">
        <v>780</v>
      </c>
    </row>
    <row r="1080" ht="28.5" outlineLevel="1" spans="1:11">
      <c r="A1080" s="24"/>
      <c r="B1080" s="81" t="str">
        <f t="shared" si="33"/>
        <v>0912</v>
      </c>
      <c r="C1080" s="67" t="s">
        <v>1219</v>
      </c>
      <c r="D1080" s="24" t="s">
        <v>89</v>
      </c>
      <c r="E1080" s="24">
        <v>1</v>
      </c>
      <c r="F1080" s="24" t="s">
        <v>584</v>
      </c>
      <c r="G1080" s="24">
        <v>0</v>
      </c>
      <c r="H1080" s="24">
        <v>100</v>
      </c>
      <c r="I1080" s="24" t="s">
        <v>1070</v>
      </c>
      <c r="J1080" s="101" t="s">
        <v>1220</v>
      </c>
      <c r="K1080" s="24" t="s">
        <v>780</v>
      </c>
    </row>
    <row r="1081" ht="28.5" outlineLevel="1" spans="1:11">
      <c r="A1081" s="24"/>
      <c r="B1081" s="81" t="str">
        <f t="shared" si="33"/>
        <v>0913</v>
      </c>
      <c r="C1081" s="106" t="s">
        <v>1221</v>
      </c>
      <c r="D1081" s="76" t="s">
        <v>89</v>
      </c>
      <c r="E1081" s="76">
        <v>10</v>
      </c>
      <c r="F1081" s="76" t="s">
        <v>1102</v>
      </c>
      <c r="G1081" s="76">
        <v>0</v>
      </c>
      <c r="H1081" s="76">
        <v>65535</v>
      </c>
      <c r="I1081" s="76" t="s">
        <v>1070</v>
      </c>
      <c r="J1081" s="101" t="s">
        <v>1222</v>
      </c>
      <c r="K1081" s="24" t="s">
        <v>780</v>
      </c>
    </row>
    <row r="1082" s="22" customFormat="1" outlineLevel="1" spans="1:11">
      <c r="A1082" s="24"/>
      <c r="B1082" s="81" t="str">
        <f t="shared" si="33"/>
        <v>0914</v>
      </c>
      <c r="C1082" s="106" t="s">
        <v>1223</v>
      </c>
      <c r="D1082" s="76" t="s">
        <v>89</v>
      </c>
      <c r="E1082" s="76">
        <v>1</v>
      </c>
      <c r="F1082" s="76" t="s">
        <v>1073</v>
      </c>
      <c r="G1082" s="76">
        <v>1</v>
      </c>
      <c r="H1082" s="76">
        <v>65535</v>
      </c>
      <c r="I1082" s="76" t="s">
        <v>1070</v>
      </c>
      <c r="J1082" s="110" t="s">
        <v>1224</v>
      </c>
      <c r="K1082" s="76" t="s">
        <v>780</v>
      </c>
    </row>
    <row r="1083" s="22" customFormat="1" outlineLevel="1" spans="1:12">
      <c r="A1083" s="24"/>
      <c r="B1083" s="81" t="str">
        <f t="shared" si="33"/>
        <v>0915</v>
      </c>
      <c r="C1083" s="106" t="s">
        <v>1225</v>
      </c>
      <c r="D1083" s="76" t="s">
        <v>89</v>
      </c>
      <c r="E1083" s="76">
        <v>1</v>
      </c>
      <c r="F1083" s="76" t="s">
        <v>1073</v>
      </c>
      <c r="G1083" s="76">
        <v>1</v>
      </c>
      <c r="H1083" s="76">
        <v>65535</v>
      </c>
      <c r="I1083" s="76" t="s">
        <v>1070</v>
      </c>
      <c r="J1083" s="111" t="s">
        <v>1226</v>
      </c>
      <c r="K1083" s="24" t="s">
        <v>780</v>
      </c>
      <c r="L1083" s="112"/>
    </row>
    <row r="1084" s="48" customFormat="1" outlineLevel="1" spans="1:12">
      <c r="A1084" s="64"/>
      <c r="B1084" s="107" t="str">
        <f t="shared" si="33"/>
        <v>0916</v>
      </c>
      <c r="C1084" s="106" t="s">
        <v>1227</v>
      </c>
      <c r="D1084" s="76" t="s">
        <v>89</v>
      </c>
      <c r="E1084" s="76">
        <v>1</v>
      </c>
      <c r="F1084" s="76" t="s">
        <v>1069</v>
      </c>
      <c r="G1084" s="108">
        <v>0</v>
      </c>
      <c r="H1084" s="76">
        <v>65535</v>
      </c>
      <c r="I1084" s="76" t="s">
        <v>1070</v>
      </c>
      <c r="J1084" s="109" t="s">
        <v>1228</v>
      </c>
      <c r="K1084" s="113" t="s">
        <v>780</v>
      </c>
      <c r="L1084" s="114"/>
    </row>
    <row r="1085" s="48" customFormat="1" outlineLevel="1" spans="1:12">
      <c r="A1085" s="64"/>
      <c r="B1085" s="81"/>
      <c r="C1085" s="106"/>
      <c r="D1085" s="76"/>
      <c r="E1085" s="76"/>
      <c r="F1085" s="76"/>
      <c r="G1085" s="76"/>
      <c r="H1085" s="76"/>
      <c r="I1085" s="76"/>
      <c r="J1085" s="106"/>
      <c r="K1085" s="113"/>
      <c r="L1085" s="114"/>
    </row>
    <row r="1086" s="48" customFormat="1" outlineLevel="1" spans="1:11">
      <c r="A1086" s="64"/>
      <c r="B1086" s="81"/>
      <c r="C1086" s="106"/>
      <c r="D1086" s="76"/>
      <c r="E1086" s="76"/>
      <c r="F1086" s="76"/>
      <c r="G1086" s="76"/>
      <c r="H1086" s="76"/>
      <c r="I1086" s="76"/>
      <c r="J1086" s="106"/>
      <c r="K1086" s="24"/>
    </row>
    <row r="1087" outlineLevel="1" spans="1:11">
      <c r="A1087" s="24"/>
      <c r="B1087" s="81"/>
      <c r="C1087" s="67"/>
      <c r="D1087" s="24"/>
      <c r="E1087" s="24"/>
      <c r="F1087" s="24"/>
      <c r="G1087" s="24"/>
      <c r="H1087" s="24"/>
      <c r="I1087" s="24"/>
      <c r="J1087" s="67"/>
      <c r="K1087" s="24"/>
    </row>
    <row r="1088" spans="1:11">
      <c r="A1088" s="24"/>
      <c r="B1088" s="81"/>
      <c r="C1088" s="67"/>
      <c r="D1088" s="24"/>
      <c r="E1088" s="24"/>
      <c r="F1088" s="24"/>
      <c r="G1088" s="24"/>
      <c r="H1088" s="24"/>
      <c r="I1088" s="24"/>
      <c r="J1088" s="67"/>
      <c r="K1088" s="24"/>
    </row>
    <row r="1089" spans="1:11">
      <c r="A1089" s="66" t="s">
        <v>1229</v>
      </c>
      <c r="B1089" s="66"/>
      <c r="C1089" s="66"/>
      <c r="D1089" s="66"/>
      <c r="E1089" s="66"/>
      <c r="F1089" s="66"/>
      <c r="G1089" s="66"/>
      <c r="H1089" s="66"/>
      <c r="I1089" s="66"/>
      <c r="J1089" s="66"/>
      <c r="K1089" s="66"/>
    </row>
    <row r="1090" ht="142.5" outlineLevel="1" spans="1:11">
      <c r="A1090" s="24"/>
      <c r="B1090" s="81" t="str">
        <f>DEC2HEX(2368+ROW()-ROW($B$1090),4)</f>
        <v>0940</v>
      </c>
      <c r="C1090" s="67" t="s">
        <v>1230</v>
      </c>
      <c r="D1090" s="24" t="s">
        <v>89</v>
      </c>
      <c r="E1090" s="24"/>
      <c r="F1090" s="24"/>
      <c r="G1090" s="24"/>
      <c r="H1090" s="24"/>
      <c r="I1090" s="24" t="s">
        <v>1070</v>
      </c>
      <c r="J1090" s="101" t="s">
        <v>1231</v>
      </c>
      <c r="K1090" s="24" t="s">
        <v>780</v>
      </c>
    </row>
    <row r="1091" ht="28.5" outlineLevel="1" spans="1:11">
      <c r="A1091" s="24"/>
      <c r="B1091" s="81" t="str">
        <f t="shared" ref="B1091:B1107" si="34">DEC2HEX(2368+ROW()-ROW($B$1090),4)</f>
        <v>0941</v>
      </c>
      <c r="C1091" s="67" t="s">
        <v>1232</v>
      </c>
      <c r="D1091" s="24" t="s">
        <v>89</v>
      </c>
      <c r="E1091" s="24">
        <v>0.01</v>
      </c>
      <c r="F1091" s="24" t="s">
        <v>281</v>
      </c>
      <c r="G1091" s="24">
        <v>4000</v>
      </c>
      <c r="H1091" s="24">
        <v>7000</v>
      </c>
      <c r="I1091" s="24" t="s">
        <v>1070</v>
      </c>
      <c r="J1091" s="101" t="s">
        <v>1233</v>
      </c>
      <c r="K1091" s="24" t="s">
        <v>780</v>
      </c>
    </row>
    <row r="1092" ht="28.5" outlineLevel="1" spans="1:11">
      <c r="A1092" s="24"/>
      <c r="B1092" s="81" t="str">
        <f t="shared" si="34"/>
        <v>0942</v>
      </c>
      <c r="C1092" s="67" t="s">
        <v>1234</v>
      </c>
      <c r="D1092" s="24" t="s">
        <v>89</v>
      </c>
      <c r="E1092" s="24">
        <v>0.01</v>
      </c>
      <c r="F1092" s="24" t="s">
        <v>281</v>
      </c>
      <c r="G1092" s="24">
        <v>4000</v>
      </c>
      <c r="H1092" s="24">
        <v>7000</v>
      </c>
      <c r="I1092" s="24" t="s">
        <v>1070</v>
      </c>
      <c r="J1092" s="101" t="s">
        <v>1235</v>
      </c>
      <c r="K1092" s="24" t="s">
        <v>780</v>
      </c>
    </row>
    <row r="1093" ht="42.75" outlineLevel="1" spans="1:11">
      <c r="A1093" s="24"/>
      <c r="B1093" s="81" t="str">
        <f t="shared" si="34"/>
        <v>0943</v>
      </c>
      <c r="C1093" s="67" t="s">
        <v>1236</v>
      </c>
      <c r="D1093" s="24" t="s">
        <v>89</v>
      </c>
      <c r="E1093" s="24">
        <v>1</v>
      </c>
      <c r="F1093" s="24" t="s">
        <v>1237</v>
      </c>
      <c r="G1093" s="24">
        <v>1</v>
      </c>
      <c r="H1093" s="24">
        <v>300</v>
      </c>
      <c r="I1093" s="24" t="s">
        <v>1070</v>
      </c>
      <c r="J1093" s="101" t="s">
        <v>1238</v>
      </c>
      <c r="K1093" s="24" t="s">
        <v>780</v>
      </c>
    </row>
    <row r="1094" ht="28.5" outlineLevel="1" spans="1:11">
      <c r="A1094" s="24"/>
      <c r="B1094" s="81" t="str">
        <f t="shared" si="34"/>
        <v>0944</v>
      </c>
      <c r="C1094" s="67" t="s">
        <v>1239</v>
      </c>
      <c r="D1094" s="24" t="s">
        <v>89</v>
      </c>
      <c r="E1094" s="24">
        <v>10</v>
      </c>
      <c r="F1094" s="24" t="s">
        <v>1102</v>
      </c>
      <c r="G1094" s="24">
        <v>0</v>
      </c>
      <c r="H1094" s="24">
        <v>65535</v>
      </c>
      <c r="I1094" s="24" t="s">
        <v>1070</v>
      </c>
      <c r="J1094" s="101" t="s">
        <v>1240</v>
      </c>
      <c r="K1094" s="24" t="s">
        <v>780</v>
      </c>
    </row>
    <row r="1095" ht="28.5" outlineLevel="1" spans="1:11">
      <c r="A1095" s="24"/>
      <c r="B1095" s="81" t="str">
        <f t="shared" si="34"/>
        <v>0945</v>
      </c>
      <c r="C1095" s="67" t="s">
        <v>1241</v>
      </c>
      <c r="D1095" s="24" t="s">
        <v>89</v>
      </c>
      <c r="E1095" s="24">
        <v>10</v>
      </c>
      <c r="F1095" s="24" t="s">
        <v>1102</v>
      </c>
      <c r="G1095" s="24">
        <v>0</v>
      </c>
      <c r="H1095" s="24">
        <v>65535</v>
      </c>
      <c r="I1095" s="24" t="s">
        <v>1070</v>
      </c>
      <c r="J1095" s="101" t="s">
        <v>1242</v>
      </c>
      <c r="K1095" s="24" t="s">
        <v>780</v>
      </c>
    </row>
    <row r="1096" ht="28.5" outlineLevel="1" spans="1:11">
      <c r="A1096" s="24"/>
      <c r="B1096" s="81" t="str">
        <f t="shared" si="34"/>
        <v>0946</v>
      </c>
      <c r="C1096" s="67" t="s">
        <v>1243</v>
      </c>
      <c r="D1096" s="24" t="s">
        <v>89</v>
      </c>
      <c r="E1096" s="24">
        <v>0.01</v>
      </c>
      <c r="F1096" s="24" t="s">
        <v>281</v>
      </c>
      <c r="G1096" s="24">
        <v>4000</v>
      </c>
      <c r="H1096" s="24">
        <v>7000</v>
      </c>
      <c r="I1096" s="24" t="s">
        <v>1070</v>
      </c>
      <c r="J1096" s="101" t="s">
        <v>1244</v>
      </c>
      <c r="K1096" s="24" t="s">
        <v>780</v>
      </c>
    </row>
    <row r="1097" ht="28.5" outlineLevel="1" spans="1:11">
      <c r="A1097" s="24"/>
      <c r="B1097" s="81" t="str">
        <f t="shared" si="34"/>
        <v>0947</v>
      </c>
      <c r="C1097" s="67" t="s">
        <v>1245</v>
      </c>
      <c r="D1097" s="24" t="s">
        <v>89</v>
      </c>
      <c r="E1097" s="24">
        <v>1</v>
      </c>
      <c r="F1097" s="24" t="s">
        <v>1073</v>
      </c>
      <c r="G1097" s="24">
        <v>1</v>
      </c>
      <c r="H1097" s="24">
        <v>300</v>
      </c>
      <c r="I1097" s="24" t="s">
        <v>1070</v>
      </c>
      <c r="J1097" s="101" t="s">
        <v>1246</v>
      </c>
      <c r="K1097" s="24" t="s">
        <v>780</v>
      </c>
    </row>
    <row r="1098" ht="28.5" outlineLevel="1" spans="1:11">
      <c r="A1098" s="24"/>
      <c r="B1098" s="81" t="str">
        <f t="shared" si="34"/>
        <v>0948</v>
      </c>
      <c r="C1098" s="67" t="s">
        <v>1247</v>
      </c>
      <c r="D1098" s="24" t="s">
        <v>89</v>
      </c>
      <c r="E1098" s="24">
        <v>0.01</v>
      </c>
      <c r="F1098" s="24" t="s">
        <v>281</v>
      </c>
      <c r="G1098" s="24">
        <v>4000</v>
      </c>
      <c r="H1098" s="24">
        <v>7000</v>
      </c>
      <c r="I1098" s="24" t="s">
        <v>1070</v>
      </c>
      <c r="J1098" s="101" t="s">
        <v>1248</v>
      </c>
      <c r="K1098" s="24" t="s">
        <v>780</v>
      </c>
    </row>
    <row r="1099" ht="28.5" outlineLevel="1" spans="1:11">
      <c r="A1099" s="24"/>
      <c r="B1099" s="81" t="str">
        <f t="shared" si="34"/>
        <v>0949</v>
      </c>
      <c r="C1099" s="67" t="s">
        <v>1249</v>
      </c>
      <c r="D1099" s="24" t="s">
        <v>89</v>
      </c>
      <c r="E1099" s="24">
        <v>0.01</v>
      </c>
      <c r="F1099" s="24" t="s">
        <v>281</v>
      </c>
      <c r="G1099" s="24">
        <v>4000</v>
      </c>
      <c r="H1099" s="24">
        <v>7000</v>
      </c>
      <c r="I1099" s="24" t="s">
        <v>1070</v>
      </c>
      <c r="J1099" s="101" t="s">
        <v>1250</v>
      </c>
      <c r="K1099" s="24" t="s">
        <v>780</v>
      </c>
    </row>
    <row r="1100" ht="42.75" outlineLevel="1" spans="1:11">
      <c r="A1100" s="24"/>
      <c r="B1100" s="81" t="str">
        <f t="shared" si="34"/>
        <v>094A</v>
      </c>
      <c r="C1100" s="67" t="s">
        <v>1251</v>
      </c>
      <c r="D1100" s="24" t="s">
        <v>89</v>
      </c>
      <c r="E1100" s="24">
        <v>1</v>
      </c>
      <c r="F1100" s="24" t="s">
        <v>1237</v>
      </c>
      <c r="G1100" s="24">
        <v>1</v>
      </c>
      <c r="H1100" s="24">
        <v>300</v>
      </c>
      <c r="I1100" s="24" t="s">
        <v>1070</v>
      </c>
      <c r="J1100" s="101" t="s">
        <v>1252</v>
      </c>
      <c r="K1100" s="24" t="s">
        <v>780</v>
      </c>
    </row>
    <row r="1101" ht="28.5" outlineLevel="1" spans="1:11">
      <c r="A1101" s="24"/>
      <c r="B1101" s="81" t="str">
        <f t="shared" si="34"/>
        <v>094B</v>
      </c>
      <c r="C1101" s="67" t="s">
        <v>1253</v>
      </c>
      <c r="D1101" s="24" t="s">
        <v>89</v>
      </c>
      <c r="E1101" s="24">
        <v>10</v>
      </c>
      <c r="F1101" s="24" t="s">
        <v>1102</v>
      </c>
      <c r="G1101" s="24">
        <v>0</v>
      </c>
      <c r="H1101" s="24">
        <v>65535</v>
      </c>
      <c r="I1101" s="24" t="s">
        <v>1070</v>
      </c>
      <c r="J1101" s="101" t="s">
        <v>1254</v>
      </c>
      <c r="K1101" s="24" t="s">
        <v>780</v>
      </c>
    </row>
    <row r="1102" ht="28.5" outlineLevel="1" spans="1:11">
      <c r="A1102" s="24"/>
      <c r="B1102" s="81" t="str">
        <f t="shared" si="34"/>
        <v>094C</v>
      </c>
      <c r="C1102" s="67" t="s">
        <v>1255</v>
      </c>
      <c r="D1102" s="24" t="s">
        <v>89</v>
      </c>
      <c r="E1102" s="24">
        <v>10</v>
      </c>
      <c r="F1102" s="24" t="s">
        <v>1102</v>
      </c>
      <c r="G1102" s="24">
        <v>0</v>
      </c>
      <c r="H1102" s="24">
        <v>65535</v>
      </c>
      <c r="I1102" s="24" t="s">
        <v>1070</v>
      </c>
      <c r="J1102" s="101" t="s">
        <v>1256</v>
      </c>
      <c r="K1102" s="24" t="s">
        <v>780</v>
      </c>
    </row>
    <row r="1103" ht="28.5" outlineLevel="1" spans="1:11">
      <c r="A1103" s="24"/>
      <c r="B1103" s="81" t="str">
        <f t="shared" si="34"/>
        <v>094D</v>
      </c>
      <c r="C1103" s="67" t="s">
        <v>1257</v>
      </c>
      <c r="D1103" s="24" t="s">
        <v>89</v>
      </c>
      <c r="E1103" s="24">
        <v>0.01</v>
      </c>
      <c r="F1103" s="24" t="s">
        <v>281</v>
      </c>
      <c r="G1103" s="24">
        <v>4000</v>
      </c>
      <c r="H1103" s="24">
        <v>7000</v>
      </c>
      <c r="I1103" s="24" t="s">
        <v>1070</v>
      </c>
      <c r="J1103" s="101" t="s">
        <v>1258</v>
      </c>
      <c r="K1103" s="24" t="s">
        <v>780</v>
      </c>
    </row>
    <row r="1104" ht="28.5" outlineLevel="1" spans="1:11">
      <c r="A1104" s="24"/>
      <c r="B1104" s="81" t="str">
        <f t="shared" si="34"/>
        <v>094E</v>
      </c>
      <c r="C1104" s="67" t="s">
        <v>1259</v>
      </c>
      <c r="D1104" s="24" t="s">
        <v>89</v>
      </c>
      <c r="E1104" s="24">
        <v>1</v>
      </c>
      <c r="F1104" s="24" t="s">
        <v>1073</v>
      </c>
      <c r="G1104" s="24">
        <v>1</v>
      </c>
      <c r="H1104" s="24">
        <v>300</v>
      </c>
      <c r="I1104" s="24" t="s">
        <v>1070</v>
      </c>
      <c r="J1104" s="101" t="s">
        <v>1260</v>
      </c>
      <c r="K1104" s="24" t="s">
        <v>780</v>
      </c>
    </row>
    <row r="1105" outlineLevel="1" spans="1:11">
      <c r="A1105" s="24"/>
      <c r="B1105" s="81" t="str">
        <f t="shared" si="34"/>
        <v>094F</v>
      </c>
      <c r="C1105" s="67" t="s">
        <v>1261</v>
      </c>
      <c r="D1105" s="24" t="s">
        <v>89</v>
      </c>
      <c r="E1105" s="24">
        <v>0.01</v>
      </c>
      <c r="F1105" s="24" t="s">
        <v>281</v>
      </c>
      <c r="G1105" s="24">
        <v>4000</v>
      </c>
      <c r="H1105" s="24">
        <v>7000</v>
      </c>
      <c r="I1105" s="24" t="s">
        <v>1070</v>
      </c>
      <c r="J1105" s="101" t="s">
        <v>1262</v>
      </c>
      <c r="K1105" s="24" t="s">
        <v>780</v>
      </c>
    </row>
    <row r="1106" outlineLevel="1" spans="1:11">
      <c r="A1106" s="24"/>
      <c r="B1106" s="81" t="str">
        <f t="shared" si="34"/>
        <v>0950</v>
      </c>
      <c r="C1106" s="67" t="s">
        <v>1263</v>
      </c>
      <c r="D1106" s="24" t="s">
        <v>89</v>
      </c>
      <c r="E1106" s="24">
        <v>0.01</v>
      </c>
      <c r="F1106" s="24" t="s">
        <v>281</v>
      </c>
      <c r="G1106" s="24">
        <v>4000</v>
      </c>
      <c r="H1106" s="24">
        <v>7000</v>
      </c>
      <c r="I1106" s="24" t="s">
        <v>1070</v>
      </c>
      <c r="J1106" s="101" t="s">
        <v>1264</v>
      </c>
      <c r="K1106" s="24" t="s">
        <v>780</v>
      </c>
    </row>
    <row r="1107" ht="28.5" outlineLevel="1" spans="1:11">
      <c r="A1107" s="24"/>
      <c r="B1107" s="107" t="str">
        <f t="shared" si="34"/>
        <v>0951</v>
      </c>
      <c r="C1107" s="69" t="s">
        <v>1265</v>
      </c>
      <c r="D1107" s="76" t="s">
        <v>89</v>
      </c>
      <c r="E1107" s="76">
        <v>0.01</v>
      </c>
      <c r="F1107" s="76" t="s">
        <v>281</v>
      </c>
      <c r="G1107" s="76">
        <v>4000</v>
      </c>
      <c r="H1107" s="76">
        <v>7000</v>
      </c>
      <c r="I1107" s="76" t="s">
        <v>1070</v>
      </c>
      <c r="J1107" s="101" t="s">
        <v>1266</v>
      </c>
      <c r="K1107" s="24" t="s">
        <v>780</v>
      </c>
    </row>
    <row r="1108" ht="42.75" outlineLevel="1" spans="1:11">
      <c r="A1108" s="24"/>
      <c r="B1108" s="107" t="str">
        <f t="shared" ref="B1108:B1124" si="35">DEC2HEX(2368+ROW()-ROW($B$1090),4)</f>
        <v>0952</v>
      </c>
      <c r="C1108" s="69" t="s">
        <v>1267</v>
      </c>
      <c r="D1108" s="76" t="s">
        <v>89</v>
      </c>
      <c r="E1108" s="76">
        <v>0.01</v>
      </c>
      <c r="F1108" s="76" t="s">
        <v>281</v>
      </c>
      <c r="G1108" s="76">
        <v>4000</v>
      </c>
      <c r="H1108" s="76">
        <v>7000</v>
      </c>
      <c r="I1108" s="76" t="s">
        <v>1070</v>
      </c>
      <c r="J1108" s="101" t="s">
        <v>1268</v>
      </c>
      <c r="K1108" s="24" t="s">
        <v>780</v>
      </c>
    </row>
    <row r="1109" ht="42.75" outlineLevel="1" spans="1:11">
      <c r="A1109" s="24"/>
      <c r="B1109" s="107" t="str">
        <f t="shared" si="35"/>
        <v>0953</v>
      </c>
      <c r="C1109" s="69" t="s">
        <v>1269</v>
      </c>
      <c r="D1109" s="76" t="s">
        <v>89</v>
      </c>
      <c r="E1109" s="76">
        <v>1</v>
      </c>
      <c r="F1109" s="76" t="s">
        <v>1237</v>
      </c>
      <c r="G1109" s="76">
        <v>1</v>
      </c>
      <c r="H1109" s="76">
        <v>300</v>
      </c>
      <c r="I1109" s="76" t="s">
        <v>1070</v>
      </c>
      <c r="J1109" s="101" t="s">
        <v>1270</v>
      </c>
      <c r="K1109" s="24" t="s">
        <v>780</v>
      </c>
    </row>
    <row r="1110" ht="28.5" outlineLevel="1" spans="1:11">
      <c r="A1110" s="24"/>
      <c r="B1110" s="107" t="str">
        <f t="shared" si="35"/>
        <v>0954</v>
      </c>
      <c r="C1110" s="69" t="s">
        <v>1271</v>
      </c>
      <c r="D1110" s="76" t="s">
        <v>89</v>
      </c>
      <c r="E1110" s="76">
        <v>10</v>
      </c>
      <c r="F1110" s="76" t="s">
        <v>1102</v>
      </c>
      <c r="G1110" s="76">
        <v>0</v>
      </c>
      <c r="H1110" s="76">
        <v>65535</v>
      </c>
      <c r="I1110" s="76" t="s">
        <v>1070</v>
      </c>
      <c r="J1110" s="101" t="s">
        <v>1272</v>
      </c>
      <c r="K1110" s="24" t="s">
        <v>780</v>
      </c>
    </row>
    <row r="1111" ht="28.5" outlineLevel="1" spans="1:11">
      <c r="A1111" s="24"/>
      <c r="B1111" s="107" t="str">
        <f t="shared" si="35"/>
        <v>0955</v>
      </c>
      <c r="C1111" s="69" t="s">
        <v>1273</v>
      </c>
      <c r="D1111" s="76" t="s">
        <v>89</v>
      </c>
      <c r="E1111" s="76">
        <v>10</v>
      </c>
      <c r="F1111" s="76" t="s">
        <v>1102</v>
      </c>
      <c r="G1111" s="76">
        <v>0</v>
      </c>
      <c r="H1111" s="76">
        <v>65535</v>
      </c>
      <c r="I1111" s="76" t="s">
        <v>1070</v>
      </c>
      <c r="J1111" s="101" t="s">
        <v>1274</v>
      </c>
      <c r="K1111" s="24" t="s">
        <v>780</v>
      </c>
    </row>
    <row r="1112" ht="42.75" outlineLevel="1" spans="1:11">
      <c r="A1112" s="24"/>
      <c r="B1112" s="107" t="str">
        <f t="shared" si="35"/>
        <v>0956</v>
      </c>
      <c r="C1112" s="69" t="s">
        <v>1275</v>
      </c>
      <c r="D1112" s="76" t="s">
        <v>89</v>
      </c>
      <c r="E1112" s="76">
        <v>0.01</v>
      </c>
      <c r="F1112" s="76" t="s">
        <v>281</v>
      </c>
      <c r="G1112" s="76">
        <v>4000</v>
      </c>
      <c r="H1112" s="76">
        <v>7000</v>
      </c>
      <c r="I1112" s="76" t="s">
        <v>1070</v>
      </c>
      <c r="J1112" s="101" t="s">
        <v>1276</v>
      </c>
      <c r="K1112" s="24" t="s">
        <v>780</v>
      </c>
    </row>
    <row r="1113" ht="28.5" outlineLevel="1" spans="1:11">
      <c r="A1113" s="24"/>
      <c r="B1113" s="107" t="str">
        <f t="shared" si="35"/>
        <v>0957</v>
      </c>
      <c r="C1113" s="69" t="s">
        <v>1277</v>
      </c>
      <c r="D1113" s="76" t="s">
        <v>89</v>
      </c>
      <c r="E1113" s="76">
        <v>1</v>
      </c>
      <c r="F1113" s="76" t="s">
        <v>1073</v>
      </c>
      <c r="G1113" s="76">
        <v>1</v>
      </c>
      <c r="H1113" s="76">
        <v>300</v>
      </c>
      <c r="I1113" s="76" t="s">
        <v>1070</v>
      </c>
      <c r="J1113" s="101" t="s">
        <v>1278</v>
      </c>
      <c r="K1113" s="24" t="s">
        <v>780</v>
      </c>
    </row>
    <row r="1114" ht="28.5" outlineLevel="1" spans="1:11">
      <c r="A1114" s="24"/>
      <c r="B1114" s="107" t="str">
        <f t="shared" si="35"/>
        <v>0958</v>
      </c>
      <c r="C1114" s="69" t="s">
        <v>1279</v>
      </c>
      <c r="D1114" s="76" t="s">
        <v>89</v>
      </c>
      <c r="E1114" s="76">
        <v>0.01</v>
      </c>
      <c r="F1114" s="76" t="s">
        <v>281</v>
      </c>
      <c r="G1114" s="76">
        <v>4000</v>
      </c>
      <c r="H1114" s="76">
        <v>7000</v>
      </c>
      <c r="I1114" s="76" t="s">
        <v>1070</v>
      </c>
      <c r="J1114" s="101" t="s">
        <v>1280</v>
      </c>
      <c r="K1114" s="24" t="s">
        <v>780</v>
      </c>
    </row>
    <row r="1115" ht="42.75" outlineLevel="1" spans="1:11">
      <c r="A1115" s="24"/>
      <c r="B1115" s="107" t="str">
        <f t="shared" si="35"/>
        <v>0959</v>
      </c>
      <c r="C1115" s="69" t="s">
        <v>1281</v>
      </c>
      <c r="D1115" s="76" t="s">
        <v>89</v>
      </c>
      <c r="E1115" s="76">
        <v>0.01</v>
      </c>
      <c r="F1115" s="76" t="s">
        <v>281</v>
      </c>
      <c r="G1115" s="76">
        <v>4000</v>
      </c>
      <c r="H1115" s="76">
        <v>7000</v>
      </c>
      <c r="I1115" s="76" t="s">
        <v>1070</v>
      </c>
      <c r="J1115" s="101" t="s">
        <v>1282</v>
      </c>
      <c r="K1115" s="24" t="s">
        <v>780</v>
      </c>
    </row>
    <row r="1116" ht="28.5" outlineLevel="1" spans="1:11">
      <c r="A1116" s="24"/>
      <c r="B1116" s="107" t="str">
        <f t="shared" si="35"/>
        <v>095A</v>
      </c>
      <c r="C1116" s="69" t="s">
        <v>1283</v>
      </c>
      <c r="D1116" s="76" t="s">
        <v>89</v>
      </c>
      <c r="E1116" s="76">
        <v>1</v>
      </c>
      <c r="F1116" s="76" t="s">
        <v>1237</v>
      </c>
      <c r="G1116" s="76">
        <v>1</v>
      </c>
      <c r="H1116" s="76">
        <v>300</v>
      </c>
      <c r="I1116" s="76" t="s">
        <v>1070</v>
      </c>
      <c r="J1116" s="101" t="s">
        <v>1284</v>
      </c>
      <c r="K1116" s="24" t="s">
        <v>780</v>
      </c>
    </row>
    <row r="1117" ht="28.5" outlineLevel="1" spans="1:11">
      <c r="A1117" s="24"/>
      <c r="B1117" s="107" t="str">
        <f t="shared" si="35"/>
        <v>095B</v>
      </c>
      <c r="C1117" s="69" t="s">
        <v>1285</v>
      </c>
      <c r="D1117" s="76" t="s">
        <v>89</v>
      </c>
      <c r="E1117" s="76">
        <v>10</v>
      </c>
      <c r="F1117" s="76" t="s">
        <v>1102</v>
      </c>
      <c r="G1117" s="76">
        <v>0</v>
      </c>
      <c r="H1117" s="76">
        <v>65535</v>
      </c>
      <c r="I1117" s="76" t="s">
        <v>1070</v>
      </c>
      <c r="J1117" s="101" t="s">
        <v>1286</v>
      </c>
      <c r="K1117" s="24" t="s">
        <v>780</v>
      </c>
    </row>
    <row r="1118" ht="28.5" outlineLevel="1" spans="1:11">
      <c r="A1118" s="24"/>
      <c r="B1118" s="107" t="str">
        <f t="shared" si="35"/>
        <v>095C</v>
      </c>
      <c r="C1118" s="69" t="s">
        <v>1287</v>
      </c>
      <c r="D1118" s="76" t="s">
        <v>89</v>
      </c>
      <c r="E1118" s="76">
        <v>10</v>
      </c>
      <c r="F1118" s="76" t="s">
        <v>1102</v>
      </c>
      <c r="G1118" s="76">
        <v>0</v>
      </c>
      <c r="H1118" s="76">
        <v>65535</v>
      </c>
      <c r="I1118" s="76" t="s">
        <v>1070</v>
      </c>
      <c r="J1118" s="101" t="s">
        <v>1288</v>
      </c>
      <c r="K1118" s="24" t="s">
        <v>780</v>
      </c>
    </row>
    <row r="1119" ht="42.75" outlineLevel="1" spans="1:11">
      <c r="A1119" s="24"/>
      <c r="B1119" s="107" t="str">
        <f t="shared" si="35"/>
        <v>095D</v>
      </c>
      <c r="C1119" s="69" t="s">
        <v>1289</v>
      </c>
      <c r="D1119" s="76" t="s">
        <v>89</v>
      </c>
      <c r="E1119" s="76">
        <v>0.01</v>
      </c>
      <c r="F1119" s="76" t="s">
        <v>281</v>
      </c>
      <c r="G1119" s="76">
        <v>4000</v>
      </c>
      <c r="H1119" s="76">
        <v>7000</v>
      </c>
      <c r="I1119" s="76" t="s">
        <v>1070</v>
      </c>
      <c r="J1119" s="101" t="s">
        <v>1290</v>
      </c>
      <c r="K1119" s="24" t="s">
        <v>780</v>
      </c>
    </row>
    <row r="1120" ht="28.5" outlineLevel="1" spans="1:11">
      <c r="A1120" s="24"/>
      <c r="B1120" s="107" t="str">
        <f t="shared" si="35"/>
        <v>095E</v>
      </c>
      <c r="C1120" s="69" t="s">
        <v>1291</v>
      </c>
      <c r="D1120" s="76" t="s">
        <v>89</v>
      </c>
      <c r="E1120" s="76">
        <v>1</v>
      </c>
      <c r="F1120" s="76" t="s">
        <v>1073</v>
      </c>
      <c r="G1120" s="76">
        <v>1</v>
      </c>
      <c r="H1120" s="76">
        <v>300</v>
      </c>
      <c r="I1120" s="76" t="s">
        <v>1070</v>
      </c>
      <c r="J1120" s="101" t="s">
        <v>1292</v>
      </c>
      <c r="K1120" s="24" t="s">
        <v>780</v>
      </c>
    </row>
    <row r="1121" ht="28.5" outlineLevel="1" spans="1:11">
      <c r="A1121" s="24"/>
      <c r="B1121" s="107" t="str">
        <f t="shared" si="35"/>
        <v>095F</v>
      </c>
      <c r="C1121" s="69" t="s">
        <v>1293</v>
      </c>
      <c r="D1121" s="76" t="s">
        <v>89</v>
      </c>
      <c r="E1121" s="76">
        <v>0.01</v>
      </c>
      <c r="F1121" s="76" t="s">
        <v>281</v>
      </c>
      <c r="G1121" s="76">
        <v>4000</v>
      </c>
      <c r="H1121" s="76">
        <v>7000</v>
      </c>
      <c r="I1121" s="76" t="s">
        <v>1070</v>
      </c>
      <c r="J1121" s="101" t="s">
        <v>1294</v>
      </c>
      <c r="K1121" s="24" t="s">
        <v>780</v>
      </c>
    </row>
    <row r="1122" ht="28.5" outlineLevel="1" spans="1:11">
      <c r="A1122" s="24"/>
      <c r="B1122" s="107" t="str">
        <f t="shared" si="35"/>
        <v>0960</v>
      </c>
      <c r="C1122" s="69" t="s">
        <v>1295</v>
      </c>
      <c r="D1122" s="76" t="s">
        <v>89</v>
      </c>
      <c r="E1122" s="76">
        <v>0.01</v>
      </c>
      <c r="F1122" s="76" t="s">
        <v>281</v>
      </c>
      <c r="G1122" s="76">
        <v>4000</v>
      </c>
      <c r="H1122" s="76">
        <v>7000</v>
      </c>
      <c r="I1122" s="76" t="s">
        <v>1070</v>
      </c>
      <c r="J1122" s="101" t="s">
        <v>1296</v>
      </c>
      <c r="K1122" s="24" t="s">
        <v>780</v>
      </c>
    </row>
    <row r="1123" ht="42.75" outlineLevel="1" spans="1:11">
      <c r="A1123" s="24"/>
      <c r="B1123" s="107" t="str">
        <f t="shared" si="35"/>
        <v>0961</v>
      </c>
      <c r="C1123" s="69" t="s">
        <v>1297</v>
      </c>
      <c r="D1123" s="76" t="s">
        <v>89</v>
      </c>
      <c r="E1123" s="76">
        <v>0.01</v>
      </c>
      <c r="F1123" s="76" t="s">
        <v>281</v>
      </c>
      <c r="G1123" s="76">
        <v>4000</v>
      </c>
      <c r="H1123" s="76">
        <v>7000</v>
      </c>
      <c r="I1123" s="76" t="s">
        <v>1070</v>
      </c>
      <c r="J1123" s="101" t="s">
        <v>1298</v>
      </c>
      <c r="K1123" s="24" t="s">
        <v>780</v>
      </c>
    </row>
    <row r="1124" ht="42.75" outlineLevel="1" spans="1:11">
      <c r="A1124" s="24"/>
      <c r="B1124" s="107" t="str">
        <f t="shared" si="35"/>
        <v>0962</v>
      </c>
      <c r="C1124" s="69" t="s">
        <v>1299</v>
      </c>
      <c r="D1124" s="76" t="s">
        <v>89</v>
      </c>
      <c r="E1124" s="76">
        <v>0.01</v>
      </c>
      <c r="F1124" s="76" t="s">
        <v>281</v>
      </c>
      <c r="G1124" s="76">
        <v>4000</v>
      </c>
      <c r="H1124" s="76">
        <v>7000</v>
      </c>
      <c r="I1124" s="76" t="s">
        <v>1070</v>
      </c>
      <c r="J1124" s="101" t="s">
        <v>1300</v>
      </c>
      <c r="K1124" s="24" t="s">
        <v>780</v>
      </c>
    </row>
    <row r="1125" outlineLevel="1" spans="1:11">
      <c r="A1125" s="24"/>
      <c r="B1125" s="81"/>
      <c r="C1125" s="67"/>
      <c r="D1125" s="24"/>
      <c r="E1125" s="24"/>
      <c r="F1125" s="24"/>
      <c r="G1125" s="24"/>
      <c r="H1125" s="24"/>
      <c r="I1125" s="24"/>
      <c r="J1125" s="67"/>
      <c r="K1125" s="24"/>
    </row>
    <row r="1126" outlineLevel="1" spans="1:11">
      <c r="A1126" s="24"/>
      <c r="B1126" s="81"/>
      <c r="C1126" s="67"/>
      <c r="D1126" s="24"/>
      <c r="E1126" s="24"/>
      <c r="F1126" s="24"/>
      <c r="G1126" s="24"/>
      <c r="H1126" s="24"/>
      <c r="I1126" s="24"/>
      <c r="J1126" s="67"/>
      <c r="K1126" s="24"/>
    </row>
    <row r="1127" outlineLevel="1" spans="1:11">
      <c r="A1127" s="24"/>
      <c r="B1127" s="81"/>
      <c r="C1127" s="67"/>
      <c r="D1127" s="24"/>
      <c r="E1127" s="24"/>
      <c r="F1127" s="24"/>
      <c r="G1127" s="24"/>
      <c r="H1127" s="24"/>
      <c r="I1127" s="24"/>
      <c r="J1127" s="67"/>
      <c r="K1127" s="24"/>
    </row>
    <row r="1128" outlineLevel="1" spans="1:11">
      <c r="A1128" s="24"/>
      <c r="B1128" s="81"/>
      <c r="C1128" s="67"/>
      <c r="D1128" s="24"/>
      <c r="E1128" s="24"/>
      <c r="F1128" s="24"/>
      <c r="G1128" s="24"/>
      <c r="H1128" s="24"/>
      <c r="I1128" s="24"/>
      <c r="J1128" s="67"/>
      <c r="K1128" s="24"/>
    </row>
    <row r="1129" outlineLevel="1" spans="1:11">
      <c r="A1129" s="24"/>
      <c r="B1129" s="81"/>
      <c r="C1129" s="67"/>
      <c r="D1129" s="24"/>
      <c r="E1129" s="24"/>
      <c r="F1129" s="24"/>
      <c r="G1129" s="24"/>
      <c r="H1129" s="24"/>
      <c r="I1129" s="24"/>
      <c r="J1129" s="67"/>
      <c r="K1129" s="24"/>
    </row>
    <row r="1130" outlineLevel="1" spans="1:11">
      <c r="A1130" s="24"/>
      <c r="B1130" s="81"/>
      <c r="C1130" s="67"/>
      <c r="D1130" s="24"/>
      <c r="E1130" s="24"/>
      <c r="F1130" s="24"/>
      <c r="G1130" s="24"/>
      <c r="H1130" s="24"/>
      <c r="I1130" s="24"/>
      <c r="J1130" s="67"/>
      <c r="K1130" s="24"/>
    </row>
    <row r="1131" outlineLevel="1" spans="1:11">
      <c r="A1131" s="24"/>
      <c r="B1131" s="81"/>
      <c r="C1131" s="67"/>
      <c r="D1131" s="24"/>
      <c r="E1131" s="24"/>
      <c r="F1131" s="24"/>
      <c r="G1131" s="24"/>
      <c r="H1131" s="24"/>
      <c r="I1131" s="24"/>
      <c r="J1131" s="67"/>
      <c r="K1131" s="24"/>
    </row>
    <row r="1132" outlineLevel="1" spans="1:11">
      <c r="A1132" s="24"/>
      <c r="B1132" s="81"/>
      <c r="C1132" s="67"/>
      <c r="D1132" s="24"/>
      <c r="E1132" s="24"/>
      <c r="F1132" s="24"/>
      <c r="G1132" s="24"/>
      <c r="H1132" s="24"/>
      <c r="I1132" s="24"/>
      <c r="J1132" s="67"/>
      <c r="K1132" s="24"/>
    </row>
    <row r="1133" outlineLevel="1" spans="1:11">
      <c r="A1133" s="24"/>
      <c r="B1133" s="81"/>
      <c r="C1133" s="67"/>
      <c r="D1133" s="24"/>
      <c r="E1133" s="24"/>
      <c r="F1133" s="24"/>
      <c r="G1133" s="24"/>
      <c r="H1133" s="24"/>
      <c r="I1133" s="24"/>
      <c r="J1133" s="67"/>
      <c r="K1133" s="24"/>
    </row>
    <row r="1134" outlineLevel="1" spans="1:11">
      <c r="A1134" s="24"/>
      <c r="B1134" s="81"/>
      <c r="C1134" s="67"/>
      <c r="D1134" s="24"/>
      <c r="E1134" s="24"/>
      <c r="F1134" s="24"/>
      <c r="G1134" s="24"/>
      <c r="H1134" s="24"/>
      <c r="I1134" s="24"/>
      <c r="J1134" s="67"/>
      <c r="K1134" s="24"/>
    </row>
    <row r="1135" outlineLevel="1" spans="1:11">
      <c r="A1135" s="24"/>
      <c r="B1135" s="81"/>
      <c r="C1135" s="67"/>
      <c r="D1135" s="24"/>
      <c r="E1135" s="24"/>
      <c r="F1135" s="24"/>
      <c r="G1135" s="24"/>
      <c r="H1135" s="24"/>
      <c r="I1135" s="24"/>
      <c r="J1135" s="67"/>
      <c r="K1135" s="24"/>
    </row>
    <row r="1136" outlineLevel="1" spans="1:11">
      <c r="A1136" s="24"/>
      <c r="B1136" s="81"/>
      <c r="C1136" s="67"/>
      <c r="D1136" s="24"/>
      <c r="E1136" s="24"/>
      <c r="F1136" s="24"/>
      <c r="G1136" s="24"/>
      <c r="H1136" s="24"/>
      <c r="I1136" s="24"/>
      <c r="J1136" s="67"/>
      <c r="K1136" s="24"/>
    </row>
    <row r="1137" outlineLevel="1" spans="1:11">
      <c r="A1137" s="24"/>
      <c r="B1137" s="81"/>
      <c r="C1137" s="67"/>
      <c r="D1137" s="24"/>
      <c r="E1137" s="24"/>
      <c r="F1137" s="24"/>
      <c r="G1137" s="24"/>
      <c r="H1137" s="24"/>
      <c r="I1137" s="24"/>
      <c r="J1137" s="67"/>
      <c r="K1137" s="24"/>
    </row>
    <row r="1138" outlineLevel="1" spans="1:11">
      <c r="A1138" s="24"/>
      <c r="B1138" s="81"/>
      <c r="C1138" s="67"/>
      <c r="D1138" s="24"/>
      <c r="E1138" s="24"/>
      <c r="F1138" s="24"/>
      <c r="G1138" s="24"/>
      <c r="H1138" s="24"/>
      <c r="I1138" s="24"/>
      <c r="J1138" s="67"/>
      <c r="K1138" s="24"/>
    </row>
    <row r="1139" spans="1:11">
      <c r="A1139" s="24"/>
      <c r="B1139" s="81"/>
      <c r="C1139" s="67"/>
      <c r="D1139" s="24"/>
      <c r="E1139" s="24"/>
      <c r="F1139" s="24"/>
      <c r="G1139" s="24"/>
      <c r="H1139" s="24"/>
      <c r="I1139" s="24"/>
      <c r="J1139" s="67"/>
      <c r="K1139" s="24"/>
    </row>
    <row r="1140" spans="1:11">
      <c r="A1140" s="66" t="s">
        <v>1301</v>
      </c>
      <c r="B1140" s="66"/>
      <c r="C1140" s="66"/>
      <c r="D1140" s="66"/>
      <c r="E1140" s="66"/>
      <c r="F1140" s="66"/>
      <c r="G1140" s="66"/>
      <c r="H1140" s="66"/>
      <c r="I1140" s="66"/>
      <c r="J1140" s="66"/>
      <c r="K1140" s="66"/>
    </row>
    <row r="1141" ht="57" customHeight="1" outlineLevel="1" spans="1:11">
      <c r="A1141" s="24"/>
      <c r="B1141" s="81" t="str">
        <f>DEC2HEX(2432+ROW()-ROW($B$1141),4)</f>
        <v>0980</v>
      </c>
      <c r="C1141" s="67" t="s">
        <v>1302</v>
      </c>
      <c r="D1141" s="24" t="s">
        <v>89</v>
      </c>
      <c r="E1141" s="24"/>
      <c r="F1141" s="24"/>
      <c r="G1141" s="24"/>
      <c r="H1141" s="24"/>
      <c r="I1141" s="24" t="s">
        <v>1070</v>
      </c>
      <c r="J1141" s="101" t="s">
        <v>1303</v>
      </c>
      <c r="K1141" s="24" t="s">
        <v>780</v>
      </c>
    </row>
    <row r="1142" ht="28.5" outlineLevel="1" spans="1:11">
      <c r="A1142" s="24"/>
      <c r="B1142" s="81" t="str">
        <f t="shared" ref="B1142:B1173" si="36">DEC2HEX(2432+ROW()-ROW($B$1141),4)</f>
        <v>0981</v>
      </c>
      <c r="C1142" s="67" t="s">
        <v>1304</v>
      </c>
      <c r="D1142" s="24" t="s">
        <v>131</v>
      </c>
      <c r="E1142" s="59">
        <v>0.0001</v>
      </c>
      <c r="F1142" s="59"/>
      <c r="G1142" s="76">
        <v>-10000</v>
      </c>
      <c r="H1142" s="76">
        <v>10000</v>
      </c>
      <c r="I1142" s="24" t="s">
        <v>1070</v>
      </c>
      <c r="J1142" s="101" t="s">
        <v>1305</v>
      </c>
      <c r="K1142" s="24" t="s">
        <v>780</v>
      </c>
    </row>
    <row r="1143" ht="28.5" outlineLevel="1" spans="1:11">
      <c r="A1143" s="24"/>
      <c r="B1143" s="81" t="str">
        <f t="shared" si="36"/>
        <v>0982</v>
      </c>
      <c r="C1143" s="67" t="s">
        <v>1306</v>
      </c>
      <c r="D1143" s="24" t="s">
        <v>131</v>
      </c>
      <c r="E1143" s="59">
        <v>0.01</v>
      </c>
      <c r="F1143" s="59" t="s">
        <v>584</v>
      </c>
      <c r="G1143" s="76">
        <v>-6000</v>
      </c>
      <c r="H1143" s="76">
        <v>6000</v>
      </c>
      <c r="I1143" s="24" t="s">
        <v>1070</v>
      </c>
      <c r="J1143" s="101" t="s">
        <v>1307</v>
      </c>
      <c r="K1143" s="24" t="s">
        <v>780</v>
      </c>
    </row>
    <row r="1144" ht="28.5" outlineLevel="1" spans="1:11">
      <c r="A1144" s="24"/>
      <c r="B1144" s="81" t="str">
        <f t="shared" si="36"/>
        <v>0983</v>
      </c>
      <c r="C1144" s="67" t="s">
        <v>1308</v>
      </c>
      <c r="D1144" s="24" t="s">
        <v>131</v>
      </c>
      <c r="E1144" s="59">
        <v>0.0001</v>
      </c>
      <c r="F1144" s="59"/>
      <c r="G1144" s="24">
        <v>-10000</v>
      </c>
      <c r="H1144" s="24">
        <v>10000</v>
      </c>
      <c r="I1144" s="24" t="s">
        <v>1070</v>
      </c>
      <c r="J1144" s="101" t="s">
        <v>1309</v>
      </c>
      <c r="K1144" s="24" t="s">
        <v>780</v>
      </c>
    </row>
    <row r="1145" ht="28.5" outlineLevel="1" spans="1:11">
      <c r="A1145" s="24"/>
      <c r="B1145" s="81" t="str">
        <f t="shared" si="36"/>
        <v>0984</v>
      </c>
      <c r="C1145" s="67" t="s">
        <v>1310</v>
      </c>
      <c r="D1145" s="24" t="s">
        <v>131</v>
      </c>
      <c r="E1145" s="59">
        <v>1</v>
      </c>
      <c r="F1145" s="59" t="s">
        <v>584</v>
      </c>
      <c r="G1145" s="24">
        <v>-100</v>
      </c>
      <c r="H1145" s="24">
        <v>100</v>
      </c>
      <c r="I1145" s="24" t="s">
        <v>1070</v>
      </c>
      <c r="J1145" s="101" t="s">
        <v>1311</v>
      </c>
      <c r="K1145" s="24" t="s">
        <v>780</v>
      </c>
    </row>
    <row r="1146" ht="28.5" outlineLevel="1" spans="1:11">
      <c r="A1146" s="24"/>
      <c r="B1146" s="81" t="str">
        <f t="shared" si="36"/>
        <v>0985</v>
      </c>
      <c r="C1146" s="67" t="s">
        <v>1312</v>
      </c>
      <c r="D1146" s="24" t="s">
        <v>131</v>
      </c>
      <c r="E1146" s="59">
        <v>0.0001</v>
      </c>
      <c r="F1146" s="59"/>
      <c r="G1146" s="24">
        <v>-10000</v>
      </c>
      <c r="H1146" s="24">
        <v>10000</v>
      </c>
      <c r="I1146" s="24" t="s">
        <v>1070</v>
      </c>
      <c r="J1146" s="101" t="s">
        <v>1313</v>
      </c>
      <c r="K1146" s="24" t="s">
        <v>780</v>
      </c>
    </row>
    <row r="1147" ht="28.5" outlineLevel="1" spans="1:11">
      <c r="A1147" s="24"/>
      <c r="B1147" s="81" t="str">
        <f t="shared" si="36"/>
        <v>0986</v>
      </c>
      <c r="C1147" s="67" t="s">
        <v>1314</v>
      </c>
      <c r="D1147" s="24" t="s">
        <v>131</v>
      </c>
      <c r="E1147" s="59">
        <v>1</v>
      </c>
      <c r="F1147" s="59" t="s">
        <v>584</v>
      </c>
      <c r="G1147" s="24">
        <v>-100</v>
      </c>
      <c r="H1147" s="24">
        <v>100</v>
      </c>
      <c r="I1147" s="24" t="s">
        <v>1070</v>
      </c>
      <c r="J1147" s="101" t="s">
        <v>1315</v>
      </c>
      <c r="K1147" s="24" t="s">
        <v>780</v>
      </c>
    </row>
    <row r="1148" ht="28.5" outlineLevel="1" spans="1:11">
      <c r="A1148" s="24"/>
      <c r="B1148" s="81" t="str">
        <f t="shared" si="36"/>
        <v>0987</v>
      </c>
      <c r="C1148" s="67" t="s">
        <v>1316</v>
      </c>
      <c r="D1148" s="24" t="s">
        <v>131</v>
      </c>
      <c r="E1148" s="59">
        <v>0.0001</v>
      </c>
      <c r="F1148" s="59"/>
      <c r="G1148" s="24">
        <v>-10000</v>
      </c>
      <c r="H1148" s="24">
        <v>10000</v>
      </c>
      <c r="I1148" s="24" t="s">
        <v>1070</v>
      </c>
      <c r="J1148" s="101" t="s">
        <v>1317</v>
      </c>
      <c r="K1148" s="24" t="s">
        <v>780</v>
      </c>
    </row>
    <row r="1149" ht="28.5" outlineLevel="1" spans="1:11">
      <c r="A1149" s="24"/>
      <c r="B1149" s="81" t="str">
        <f t="shared" si="36"/>
        <v>0988</v>
      </c>
      <c r="C1149" s="67" t="s">
        <v>1318</v>
      </c>
      <c r="D1149" s="24" t="s">
        <v>131</v>
      </c>
      <c r="E1149" s="59">
        <v>1</v>
      </c>
      <c r="F1149" s="59" t="s">
        <v>584</v>
      </c>
      <c r="G1149" s="24">
        <v>-100</v>
      </c>
      <c r="H1149" s="24">
        <v>100</v>
      </c>
      <c r="I1149" s="24" t="s">
        <v>1070</v>
      </c>
      <c r="J1149" s="101" t="s">
        <v>1319</v>
      </c>
      <c r="K1149" s="24" t="s">
        <v>780</v>
      </c>
    </row>
    <row r="1150" ht="28.5" outlineLevel="1" spans="1:11">
      <c r="A1150" s="24"/>
      <c r="B1150" s="81" t="str">
        <f t="shared" si="36"/>
        <v>0989</v>
      </c>
      <c r="C1150" s="67" t="s">
        <v>1320</v>
      </c>
      <c r="D1150" s="24" t="s">
        <v>131</v>
      </c>
      <c r="E1150" s="59">
        <v>0.0001</v>
      </c>
      <c r="F1150" s="59"/>
      <c r="G1150" s="24">
        <v>-10000</v>
      </c>
      <c r="H1150" s="24">
        <v>10000</v>
      </c>
      <c r="I1150" s="24" t="s">
        <v>1070</v>
      </c>
      <c r="J1150" s="101" t="s">
        <v>1321</v>
      </c>
      <c r="K1150" s="24" t="s">
        <v>780</v>
      </c>
    </row>
    <row r="1151" ht="28.5" outlineLevel="1" spans="1:11">
      <c r="A1151" s="24"/>
      <c r="B1151" s="81" t="str">
        <f t="shared" si="36"/>
        <v>098A</v>
      </c>
      <c r="C1151" s="67" t="s">
        <v>1322</v>
      </c>
      <c r="D1151" s="24" t="s">
        <v>131</v>
      </c>
      <c r="E1151" s="24">
        <v>1</v>
      </c>
      <c r="F1151" s="24" t="s">
        <v>584</v>
      </c>
      <c r="G1151" s="24">
        <v>-100</v>
      </c>
      <c r="H1151" s="24">
        <v>100</v>
      </c>
      <c r="I1151" s="24" t="s">
        <v>1070</v>
      </c>
      <c r="J1151" s="101" t="s">
        <v>1323</v>
      </c>
      <c r="K1151" s="24" t="s">
        <v>780</v>
      </c>
    </row>
    <row r="1152" ht="28.5" outlineLevel="1" spans="1:11">
      <c r="A1152" s="24"/>
      <c r="B1152" s="81" t="str">
        <f t="shared" si="36"/>
        <v>098B</v>
      </c>
      <c r="C1152" s="67" t="s">
        <v>1324</v>
      </c>
      <c r="D1152" s="24" t="s">
        <v>89</v>
      </c>
      <c r="E1152" s="24">
        <v>1</v>
      </c>
      <c r="F1152" s="24" t="s">
        <v>584</v>
      </c>
      <c r="G1152" s="24">
        <v>0</v>
      </c>
      <c r="H1152" s="24">
        <v>200</v>
      </c>
      <c r="I1152" s="24" t="s">
        <v>1070</v>
      </c>
      <c r="J1152" s="101" t="s">
        <v>1325</v>
      </c>
      <c r="K1152" s="24" t="s">
        <v>780</v>
      </c>
    </row>
    <row r="1153" ht="28.5" outlineLevel="1" spans="1:11">
      <c r="A1153" s="24"/>
      <c r="B1153" s="81" t="str">
        <f t="shared" si="36"/>
        <v>098C</v>
      </c>
      <c r="C1153" s="67" t="s">
        <v>1326</v>
      </c>
      <c r="D1153" s="24" t="s">
        <v>89</v>
      </c>
      <c r="E1153" s="24">
        <v>1</v>
      </c>
      <c r="F1153" s="24" t="s">
        <v>584</v>
      </c>
      <c r="G1153" s="24">
        <v>0</v>
      </c>
      <c r="H1153" s="24">
        <v>200</v>
      </c>
      <c r="I1153" s="24" t="s">
        <v>1070</v>
      </c>
      <c r="J1153" s="101" t="s">
        <v>1327</v>
      </c>
      <c r="K1153" s="24" t="s">
        <v>780</v>
      </c>
    </row>
    <row r="1154" ht="28.5" outlineLevel="1" spans="1:11">
      <c r="A1154" s="24"/>
      <c r="B1154" s="81" t="str">
        <f t="shared" si="36"/>
        <v>098D</v>
      </c>
      <c r="C1154" s="67" t="s">
        <v>1328</v>
      </c>
      <c r="D1154" s="24" t="s">
        <v>89</v>
      </c>
      <c r="E1154" s="24">
        <v>1</v>
      </c>
      <c r="F1154" s="24" t="s">
        <v>584</v>
      </c>
      <c r="G1154" s="24">
        <v>0</v>
      </c>
      <c r="H1154" s="24">
        <v>200</v>
      </c>
      <c r="I1154" s="24" t="s">
        <v>1070</v>
      </c>
      <c r="J1154" s="101" t="s">
        <v>1329</v>
      </c>
      <c r="K1154" s="24" t="s">
        <v>780</v>
      </c>
    </row>
    <row r="1155" ht="28.5" outlineLevel="1" spans="1:11">
      <c r="A1155" s="24"/>
      <c r="B1155" s="81" t="str">
        <f t="shared" si="36"/>
        <v>098E</v>
      </c>
      <c r="C1155" s="67" t="s">
        <v>1330</v>
      </c>
      <c r="D1155" s="24" t="s">
        <v>89</v>
      </c>
      <c r="E1155" s="24">
        <v>1</v>
      </c>
      <c r="F1155" s="24" t="s">
        <v>584</v>
      </c>
      <c r="G1155" s="24">
        <v>0</v>
      </c>
      <c r="H1155" s="24">
        <v>200</v>
      </c>
      <c r="I1155" s="24" t="s">
        <v>1070</v>
      </c>
      <c r="J1155" s="101" t="s">
        <v>1331</v>
      </c>
      <c r="K1155" s="24" t="s">
        <v>780</v>
      </c>
    </row>
    <row r="1156" ht="28.5" outlineLevel="1" spans="1:11">
      <c r="A1156" s="24"/>
      <c r="B1156" s="81" t="str">
        <f t="shared" si="36"/>
        <v>098F</v>
      </c>
      <c r="C1156" s="67" t="s">
        <v>1332</v>
      </c>
      <c r="D1156" s="24" t="s">
        <v>89</v>
      </c>
      <c r="E1156" s="24">
        <v>1</v>
      </c>
      <c r="F1156" s="24" t="s">
        <v>584</v>
      </c>
      <c r="G1156" s="24">
        <v>0</v>
      </c>
      <c r="H1156" s="24">
        <v>200</v>
      </c>
      <c r="I1156" s="24" t="s">
        <v>1070</v>
      </c>
      <c r="J1156" s="101" t="s">
        <v>1333</v>
      </c>
      <c r="K1156" s="24" t="s">
        <v>780</v>
      </c>
    </row>
    <row r="1157" ht="28.5" outlineLevel="1" spans="1:11">
      <c r="A1157" s="24"/>
      <c r="B1157" s="81" t="str">
        <f t="shared" si="36"/>
        <v>0990</v>
      </c>
      <c r="C1157" s="67" t="s">
        <v>1334</v>
      </c>
      <c r="D1157" s="24" t="s">
        <v>89</v>
      </c>
      <c r="E1157" s="24">
        <v>1</v>
      </c>
      <c r="F1157" s="24" t="s">
        <v>584</v>
      </c>
      <c r="G1157" s="24">
        <v>0</v>
      </c>
      <c r="H1157" s="24">
        <v>200</v>
      </c>
      <c r="I1157" s="24" t="s">
        <v>1070</v>
      </c>
      <c r="J1157" s="101" t="s">
        <v>1335</v>
      </c>
      <c r="K1157" s="24" t="s">
        <v>780</v>
      </c>
    </row>
    <row r="1158" ht="28.5" outlineLevel="1" spans="1:11">
      <c r="A1158" s="24"/>
      <c r="B1158" s="81" t="str">
        <f t="shared" si="36"/>
        <v>0991</v>
      </c>
      <c r="C1158" s="67" t="s">
        <v>1336</v>
      </c>
      <c r="D1158" s="24" t="s">
        <v>89</v>
      </c>
      <c r="E1158" s="24">
        <v>1</v>
      </c>
      <c r="F1158" s="24" t="s">
        <v>584</v>
      </c>
      <c r="G1158" s="24">
        <v>0</v>
      </c>
      <c r="H1158" s="24">
        <v>100</v>
      </c>
      <c r="I1158" s="24" t="s">
        <v>1070</v>
      </c>
      <c r="J1158" s="101" t="s">
        <v>1337</v>
      </c>
      <c r="K1158" s="24" t="s">
        <v>780</v>
      </c>
    </row>
    <row r="1159" ht="28.5" outlineLevel="1" spans="1:11">
      <c r="A1159" s="24"/>
      <c r="B1159" s="81" t="str">
        <f t="shared" si="36"/>
        <v>0992</v>
      </c>
      <c r="C1159" s="67" t="s">
        <v>1338</v>
      </c>
      <c r="D1159" s="24" t="s">
        <v>89</v>
      </c>
      <c r="E1159" s="24">
        <v>1</v>
      </c>
      <c r="F1159" s="24" t="s">
        <v>584</v>
      </c>
      <c r="G1159" s="24">
        <v>0</v>
      </c>
      <c r="H1159" s="24">
        <v>100</v>
      </c>
      <c r="I1159" s="24" t="s">
        <v>1070</v>
      </c>
      <c r="J1159" s="101" t="s">
        <v>1339</v>
      </c>
      <c r="K1159" s="24" t="s">
        <v>780</v>
      </c>
    </row>
    <row r="1160" ht="28.5" outlineLevel="1" spans="1:11">
      <c r="A1160" s="24"/>
      <c r="B1160" s="81" t="str">
        <f t="shared" si="36"/>
        <v>0993</v>
      </c>
      <c r="C1160" s="69" t="s">
        <v>1340</v>
      </c>
      <c r="D1160" s="76" t="s">
        <v>89</v>
      </c>
      <c r="E1160" s="76">
        <v>0.01</v>
      </c>
      <c r="F1160" s="76" t="s">
        <v>1341</v>
      </c>
      <c r="G1160" s="76">
        <v>0</v>
      </c>
      <c r="H1160" s="76">
        <v>10000</v>
      </c>
      <c r="I1160" s="76" t="s">
        <v>1070</v>
      </c>
      <c r="J1160" s="101" t="s">
        <v>1342</v>
      </c>
      <c r="K1160" s="24" t="s">
        <v>780</v>
      </c>
    </row>
    <row r="1161" ht="28.5" outlineLevel="1" spans="1:11">
      <c r="A1161" s="24"/>
      <c r="B1161" s="81" t="str">
        <f t="shared" si="36"/>
        <v>0994</v>
      </c>
      <c r="C1161" s="69" t="s">
        <v>1343</v>
      </c>
      <c r="D1161" s="76" t="s">
        <v>89</v>
      </c>
      <c r="E1161" s="76">
        <v>10</v>
      </c>
      <c r="F1161" s="76" t="s">
        <v>1102</v>
      </c>
      <c r="G1161" s="76">
        <v>0</v>
      </c>
      <c r="H1161" s="76">
        <v>65535</v>
      </c>
      <c r="I1161" s="76" t="s">
        <v>1070</v>
      </c>
      <c r="J1161" s="101" t="s">
        <v>1344</v>
      </c>
      <c r="K1161" s="24" t="s">
        <v>780</v>
      </c>
    </row>
    <row r="1162" ht="28.5" outlineLevel="1" spans="1:11">
      <c r="A1162" s="24"/>
      <c r="B1162" s="81" t="str">
        <f t="shared" si="36"/>
        <v>0995</v>
      </c>
      <c r="C1162" s="69" t="s">
        <v>1345</v>
      </c>
      <c r="D1162" s="76" t="s">
        <v>131</v>
      </c>
      <c r="E1162" s="76">
        <v>0.01</v>
      </c>
      <c r="F1162" s="76" t="s">
        <v>1346</v>
      </c>
      <c r="G1162" s="76">
        <v>-10000</v>
      </c>
      <c r="H1162" s="76">
        <v>10000</v>
      </c>
      <c r="I1162" s="76" t="s">
        <v>1070</v>
      </c>
      <c r="J1162" s="101" t="s">
        <v>1347</v>
      </c>
      <c r="K1162" s="24" t="s">
        <v>780</v>
      </c>
    </row>
    <row r="1163" ht="28.5" outlineLevel="1" spans="1:11">
      <c r="A1163" s="24"/>
      <c r="B1163" s="81" t="str">
        <f t="shared" si="36"/>
        <v>0996</v>
      </c>
      <c r="C1163" s="69" t="s">
        <v>1348</v>
      </c>
      <c r="D1163" s="76" t="s">
        <v>89</v>
      </c>
      <c r="E1163" s="76">
        <v>0.01</v>
      </c>
      <c r="F1163" s="76" t="s">
        <v>1341</v>
      </c>
      <c r="G1163" s="76">
        <v>-10000</v>
      </c>
      <c r="H1163" s="76">
        <v>10000</v>
      </c>
      <c r="I1163" s="76" t="s">
        <v>1070</v>
      </c>
      <c r="J1163" s="101" t="s">
        <v>1349</v>
      </c>
      <c r="K1163" s="24" t="s">
        <v>780</v>
      </c>
    </row>
    <row r="1164" ht="28.5" outlineLevel="1" spans="1:11">
      <c r="A1164" s="24"/>
      <c r="B1164" s="81" t="str">
        <f t="shared" si="36"/>
        <v>0997</v>
      </c>
      <c r="C1164" s="67" t="s">
        <v>1350</v>
      </c>
      <c r="D1164" s="24" t="s">
        <v>89</v>
      </c>
      <c r="E1164" s="24">
        <v>1</v>
      </c>
      <c r="F1164" s="24" t="s">
        <v>584</v>
      </c>
      <c r="G1164" s="24">
        <v>0</v>
      </c>
      <c r="H1164" s="24">
        <v>200</v>
      </c>
      <c r="I1164" s="24" t="s">
        <v>1070</v>
      </c>
      <c r="J1164" s="101" t="s">
        <v>1351</v>
      </c>
      <c r="K1164" s="24" t="s">
        <v>780</v>
      </c>
    </row>
    <row r="1165" ht="28.5" outlineLevel="1" spans="1:11">
      <c r="A1165" s="24"/>
      <c r="B1165" s="81" t="str">
        <f t="shared" si="36"/>
        <v>0998</v>
      </c>
      <c r="C1165" s="67" t="s">
        <v>1352</v>
      </c>
      <c r="D1165" s="24" t="s">
        <v>89</v>
      </c>
      <c r="E1165" s="24">
        <v>1</v>
      </c>
      <c r="F1165" s="24" t="s">
        <v>584</v>
      </c>
      <c r="G1165" s="24">
        <v>0</v>
      </c>
      <c r="H1165" s="24">
        <v>200</v>
      </c>
      <c r="I1165" s="24" t="s">
        <v>1070</v>
      </c>
      <c r="J1165" s="101" t="s">
        <v>1353</v>
      </c>
      <c r="K1165" s="24" t="s">
        <v>780</v>
      </c>
    </row>
    <row r="1166" ht="28.5" outlineLevel="1" spans="1:11">
      <c r="A1166" s="24"/>
      <c r="B1166" s="81" t="str">
        <f t="shared" si="36"/>
        <v>0999</v>
      </c>
      <c r="C1166" s="67" t="s">
        <v>1354</v>
      </c>
      <c r="D1166" s="24" t="s">
        <v>89</v>
      </c>
      <c r="E1166" s="24">
        <v>1</v>
      </c>
      <c r="F1166" s="24" t="s">
        <v>584</v>
      </c>
      <c r="G1166" s="24">
        <v>0</v>
      </c>
      <c r="H1166" s="24">
        <v>200</v>
      </c>
      <c r="I1166" s="24" t="s">
        <v>1070</v>
      </c>
      <c r="J1166" s="101" t="s">
        <v>1355</v>
      </c>
      <c r="K1166" s="24" t="s">
        <v>780</v>
      </c>
    </row>
    <row r="1167" ht="28.5" outlineLevel="1" spans="1:11">
      <c r="A1167" s="24"/>
      <c r="B1167" s="81" t="str">
        <f t="shared" si="36"/>
        <v>099A</v>
      </c>
      <c r="C1167" s="67" t="s">
        <v>1356</v>
      </c>
      <c r="D1167" s="24" t="s">
        <v>89</v>
      </c>
      <c r="E1167" s="24">
        <v>1</v>
      </c>
      <c r="F1167" s="24" t="s">
        <v>584</v>
      </c>
      <c r="G1167" s="24">
        <v>0</v>
      </c>
      <c r="H1167" s="24">
        <v>200</v>
      </c>
      <c r="I1167" s="24" t="s">
        <v>1070</v>
      </c>
      <c r="J1167" s="101" t="s">
        <v>1357</v>
      </c>
      <c r="K1167" s="24" t="s">
        <v>780</v>
      </c>
    </row>
    <row r="1168" ht="28.5" outlineLevel="1" spans="1:11">
      <c r="A1168" s="24"/>
      <c r="B1168" s="81" t="str">
        <f t="shared" si="36"/>
        <v>099B</v>
      </c>
      <c r="C1168" s="67" t="s">
        <v>1358</v>
      </c>
      <c r="D1168" s="24" t="s">
        <v>89</v>
      </c>
      <c r="E1168" s="24">
        <v>1</v>
      </c>
      <c r="F1168" s="24" t="s">
        <v>584</v>
      </c>
      <c r="G1168" s="24">
        <v>0</v>
      </c>
      <c r="H1168" s="24">
        <v>100</v>
      </c>
      <c r="I1168" s="24" t="s">
        <v>1070</v>
      </c>
      <c r="J1168" s="101" t="s">
        <v>1359</v>
      </c>
      <c r="K1168" s="24" t="s">
        <v>780</v>
      </c>
    </row>
    <row r="1169" ht="28.5" outlineLevel="1" spans="1:11">
      <c r="A1169" s="24"/>
      <c r="B1169" s="81" t="str">
        <f t="shared" si="36"/>
        <v>099C</v>
      </c>
      <c r="C1169" s="67" t="s">
        <v>1360</v>
      </c>
      <c r="D1169" s="24" t="s">
        <v>89</v>
      </c>
      <c r="E1169" s="24">
        <v>1</v>
      </c>
      <c r="F1169" s="24" t="s">
        <v>584</v>
      </c>
      <c r="G1169" s="24">
        <v>0</v>
      </c>
      <c r="H1169" s="24">
        <v>100</v>
      </c>
      <c r="I1169" s="24" t="s">
        <v>1070</v>
      </c>
      <c r="J1169" s="101" t="s">
        <v>1361</v>
      </c>
      <c r="K1169" s="24" t="s">
        <v>780</v>
      </c>
    </row>
    <row r="1170" ht="28.5" outlineLevel="1" spans="1:11">
      <c r="A1170" s="24"/>
      <c r="B1170" s="81" t="str">
        <f t="shared" si="36"/>
        <v>099D</v>
      </c>
      <c r="C1170" s="67" t="s">
        <v>1362</v>
      </c>
      <c r="D1170" s="24" t="s">
        <v>89</v>
      </c>
      <c r="E1170" s="24">
        <v>0.01</v>
      </c>
      <c r="F1170" s="24" t="s">
        <v>584</v>
      </c>
      <c r="G1170" s="24">
        <v>0</v>
      </c>
      <c r="H1170" s="24">
        <v>10000</v>
      </c>
      <c r="I1170" s="24" t="s">
        <v>1070</v>
      </c>
      <c r="J1170" s="101" t="s">
        <v>1363</v>
      </c>
      <c r="K1170" s="24" t="s">
        <v>780</v>
      </c>
    </row>
    <row r="1171" ht="28.5" outlineLevel="1" spans="1:11">
      <c r="A1171" s="24"/>
      <c r="B1171" s="81" t="str">
        <f t="shared" si="36"/>
        <v>099E</v>
      </c>
      <c r="C1171" s="67" t="s">
        <v>1364</v>
      </c>
      <c r="D1171" s="24" t="s">
        <v>89</v>
      </c>
      <c r="E1171" s="24">
        <v>10</v>
      </c>
      <c r="F1171" s="24" t="s">
        <v>1102</v>
      </c>
      <c r="G1171" s="24">
        <v>0</v>
      </c>
      <c r="H1171" s="24">
        <v>65535</v>
      </c>
      <c r="I1171" s="24" t="s">
        <v>1070</v>
      </c>
      <c r="J1171" s="101" t="s">
        <v>1365</v>
      </c>
      <c r="K1171" s="24" t="s">
        <v>780</v>
      </c>
    </row>
    <row r="1172" ht="57" outlineLevel="1" spans="1:11">
      <c r="A1172" s="24"/>
      <c r="B1172" s="81" t="str">
        <f t="shared" si="36"/>
        <v>099F</v>
      </c>
      <c r="C1172" s="67" t="s">
        <v>1366</v>
      </c>
      <c r="D1172" s="24" t="s">
        <v>89</v>
      </c>
      <c r="E1172" s="24"/>
      <c r="F1172" s="24"/>
      <c r="G1172" s="24">
        <v>0</v>
      </c>
      <c r="H1172" s="24">
        <v>2</v>
      </c>
      <c r="I1172" s="24" t="s">
        <v>1070</v>
      </c>
      <c r="J1172" s="101" t="s">
        <v>1367</v>
      </c>
      <c r="K1172" s="24" t="s">
        <v>780</v>
      </c>
    </row>
    <row r="1173" ht="28.5" outlineLevel="1" spans="1:11">
      <c r="A1173" s="24"/>
      <c r="B1173" s="81" t="str">
        <f t="shared" si="36"/>
        <v>09A0</v>
      </c>
      <c r="C1173" s="67" t="s">
        <v>1368</v>
      </c>
      <c r="D1173" s="24" t="s">
        <v>89</v>
      </c>
      <c r="E1173" s="24">
        <v>1</v>
      </c>
      <c r="F1173" s="24" t="s">
        <v>1069</v>
      </c>
      <c r="G1173" s="24">
        <v>1</v>
      </c>
      <c r="H1173" s="24">
        <v>65535</v>
      </c>
      <c r="I1173" s="24" t="s">
        <v>1070</v>
      </c>
      <c r="J1173" s="101" t="s">
        <v>1369</v>
      </c>
      <c r="K1173" s="24" t="s">
        <v>780</v>
      </c>
    </row>
    <row r="1174" ht="28.5" outlineLevel="1" spans="1:11">
      <c r="A1174" s="24"/>
      <c r="B1174" s="107" t="str">
        <f t="shared" ref="B1174:B1182" si="37">DEC2HEX(2432+ROW()-ROW($B$1141),4)</f>
        <v>09A1</v>
      </c>
      <c r="C1174" s="69" t="s">
        <v>1370</v>
      </c>
      <c r="D1174" s="76" t="s">
        <v>89</v>
      </c>
      <c r="E1174" s="76">
        <v>0.01</v>
      </c>
      <c r="F1174" s="76" t="s">
        <v>1341</v>
      </c>
      <c r="G1174" s="76">
        <v>0</v>
      </c>
      <c r="H1174" s="76">
        <v>10000</v>
      </c>
      <c r="I1174" s="76" t="s">
        <v>1070</v>
      </c>
      <c r="J1174" s="101" t="s">
        <v>1371</v>
      </c>
      <c r="K1174" s="24" t="s">
        <v>780</v>
      </c>
    </row>
    <row r="1175" outlineLevel="1" spans="1:11">
      <c r="A1175" s="24"/>
      <c r="B1175" s="81" t="str">
        <f t="shared" si="37"/>
        <v>09A2</v>
      </c>
      <c r="C1175" s="75"/>
      <c r="D1175" s="24"/>
      <c r="E1175" s="24"/>
      <c r="F1175" s="24"/>
      <c r="G1175" s="24"/>
      <c r="H1175" s="24"/>
      <c r="I1175" s="24"/>
      <c r="J1175" s="75"/>
      <c r="K1175" s="24"/>
    </row>
    <row r="1176" outlineLevel="1" spans="1:11">
      <c r="A1176" s="24"/>
      <c r="B1176" s="81" t="str">
        <f t="shared" si="37"/>
        <v>09A3</v>
      </c>
      <c r="C1176" s="67"/>
      <c r="D1176" s="24"/>
      <c r="E1176" s="24"/>
      <c r="F1176" s="24"/>
      <c r="G1176" s="24"/>
      <c r="H1176" s="24"/>
      <c r="I1176" s="24"/>
      <c r="J1176" s="67"/>
      <c r="K1176" s="24"/>
    </row>
    <row r="1177" outlineLevel="1" spans="1:11">
      <c r="A1177" s="24"/>
      <c r="B1177" s="81" t="str">
        <f t="shared" si="37"/>
        <v>09A4</v>
      </c>
      <c r="C1177" s="67"/>
      <c r="D1177" s="24"/>
      <c r="E1177" s="24"/>
      <c r="F1177" s="24"/>
      <c r="G1177" s="24"/>
      <c r="H1177" s="24"/>
      <c r="I1177" s="24"/>
      <c r="J1177" s="67"/>
      <c r="K1177" s="24"/>
    </row>
    <row r="1178" outlineLevel="1" spans="1:11">
      <c r="A1178" s="24"/>
      <c r="B1178" s="81" t="str">
        <f t="shared" si="37"/>
        <v>09A5</v>
      </c>
      <c r="C1178" s="67"/>
      <c r="D1178" s="24"/>
      <c r="E1178" s="24"/>
      <c r="F1178" s="24"/>
      <c r="G1178" s="24"/>
      <c r="H1178" s="24"/>
      <c r="I1178" s="24"/>
      <c r="J1178" s="67"/>
      <c r="K1178" s="24"/>
    </row>
    <row r="1179" outlineLevel="1" spans="1:11">
      <c r="A1179" s="24"/>
      <c r="B1179" s="81" t="str">
        <f t="shared" si="37"/>
        <v>09A6</v>
      </c>
      <c r="C1179" s="67"/>
      <c r="D1179" s="24"/>
      <c r="E1179" s="24"/>
      <c r="F1179" s="24"/>
      <c r="G1179" s="24"/>
      <c r="H1179" s="24"/>
      <c r="I1179" s="24"/>
      <c r="J1179" s="67"/>
      <c r="K1179" s="24"/>
    </row>
    <row r="1180" outlineLevel="1" spans="1:11">
      <c r="A1180" s="24"/>
      <c r="B1180" s="81" t="str">
        <f t="shared" si="37"/>
        <v>09A7</v>
      </c>
      <c r="C1180" s="67"/>
      <c r="D1180" s="24"/>
      <c r="E1180" s="24"/>
      <c r="F1180" s="24"/>
      <c r="G1180" s="24"/>
      <c r="H1180" s="24"/>
      <c r="I1180" s="24"/>
      <c r="J1180" s="67"/>
      <c r="K1180" s="24"/>
    </row>
    <row r="1181" outlineLevel="1" spans="1:11">
      <c r="A1181" s="24"/>
      <c r="B1181" s="81" t="str">
        <f t="shared" si="37"/>
        <v>09A8</v>
      </c>
      <c r="C1181" s="67"/>
      <c r="D1181" s="24"/>
      <c r="E1181" s="24"/>
      <c r="F1181" s="24"/>
      <c r="G1181" s="24"/>
      <c r="H1181" s="24"/>
      <c r="I1181" s="24"/>
      <c r="J1181" s="67"/>
      <c r="K1181" s="24"/>
    </row>
    <row r="1182" outlineLevel="1" spans="1:11">
      <c r="A1182" s="24"/>
      <c r="B1182" s="81" t="str">
        <f t="shared" si="37"/>
        <v>09A9</v>
      </c>
      <c r="C1182" s="67"/>
      <c r="D1182" s="24"/>
      <c r="E1182" s="24"/>
      <c r="F1182" s="24"/>
      <c r="G1182" s="24"/>
      <c r="H1182" s="24"/>
      <c r="I1182" s="24"/>
      <c r="J1182" s="67"/>
      <c r="K1182" s="24"/>
    </row>
    <row r="1183" outlineLevel="1" spans="1:11">
      <c r="A1183" s="24"/>
      <c r="B1183" s="81"/>
      <c r="C1183" s="67"/>
      <c r="D1183" s="24"/>
      <c r="E1183" s="24"/>
      <c r="F1183" s="24"/>
      <c r="G1183" s="24"/>
      <c r="H1183" s="24"/>
      <c r="I1183" s="24"/>
      <c r="J1183" s="67"/>
      <c r="K1183" s="24"/>
    </row>
    <row r="1184" outlineLevel="1" spans="1:11">
      <c r="A1184" s="24"/>
      <c r="B1184" s="81"/>
      <c r="C1184" s="67"/>
      <c r="D1184" s="24"/>
      <c r="E1184" s="24"/>
      <c r="F1184" s="24"/>
      <c r="G1184" s="24"/>
      <c r="H1184" s="24"/>
      <c r="I1184" s="24"/>
      <c r="J1184" s="67"/>
      <c r="K1184" s="24"/>
    </row>
    <row r="1185" outlineLevel="1" spans="1:11">
      <c r="A1185" s="24"/>
      <c r="B1185" s="81"/>
      <c r="C1185" s="67"/>
      <c r="D1185" s="24"/>
      <c r="E1185" s="24"/>
      <c r="F1185" s="24"/>
      <c r="G1185" s="24"/>
      <c r="H1185" s="24"/>
      <c r="I1185" s="24"/>
      <c r="J1185" s="67"/>
      <c r="K1185" s="24"/>
    </row>
    <row r="1186" outlineLevel="1" spans="1:11">
      <c r="A1186" s="24"/>
      <c r="B1186" s="81"/>
      <c r="C1186" s="67"/>
      <c r="D1186" s="24"/>
      <c r="E1186" s="24"/>
      <c r="F1186" s="24"/>
      <c r="G1186" s="24"/>
      <c r="H1186" s="24"/>
      <c r="I1186" s="24"/>
      <c r="J1186" s="67"/>
      <c r="K1186" s="24"/>
    </row>
    <row r="1187" spans="1:11">
      <c r="A1187" s="24"/>
      <c r="B1187" s="81"/>
      <c r="C1187" s="67"/>
      <c r="D1187" s="24"/>
      <c r="E1187" s="24"/>
      <c r="F1187" s="24"/>
      <c r="G1187" s="24"/>
      <c r="H1187" s="24"/>
      <c r="I1187" s="24"/>
      <c r="J1187" s="67"/>
      <c r="K1187" s="24"/>
    </row>
    <row r="1188" spans="1:11">
      <c r="A1188" s="66" t="s">
        <v>1372</v>
      </c>
      <c r="B1188" s="66"/>
      <c r="C1188" s="66"/>
      <c r="D1188" s="66"/>
      <c r="E1188" s="66"/>
      <c r="F1188" s="66"/>
      <c r="G1188" s="66"/>
      <c r="H1188" s="66"/>
      <c r="I1188" s="66"/>
      <c r="J1188" s="66"/>
      <c r="K1188" s="66"/>
    </row>
    <row r="1189" ht="71.25" outlineLevel="1" spans="1:11">
      <c r="A1189" s="24"/>
      <c r="B1189" s="81" t="str">
        <f>DEC2HEX(2496+ROW()-ROW($B$1189),4)</f>
        <v>09C0</v>
      </c>
      <c r="C1189" s="67" t="s">
        <v>1373</v>
      </c>
      <c r="D1189" s="24" t="s">
        <v>89</v>
      </c>
      <c r="E1189" s="24"/>
      <c r="F1189" s="24"/>
      <c r="G1189" s="24"/>
      <c r="H1189" s="24"/>
      <c r="I1189" s="24" t="s">
        <v>1070</v>
      </c>
      <c r="J1189" s="101" t="s">
        <v>1374</v>
      </c>
      <c r="K1189" s="24" t="s">
        <v>780</v>
      </c>
    </row>
    <row r="1190" outlineLevel="1" spans="1:11">
      <c r="A1190" s="24"/>
      <c r="B1190" s="81" t="str">
        <f t="shared" ref="B1190:B1219" si="38">DEC2HEX(2496+ROW()-ROW($B$1189),4)</f>
        <v>09C1</v>
      </c>
      <c r="C1190" s="67" t="s">
        <v>1375</v>
      </c>
      <c r="D1190" s="24" t="s">
        <v>89</v>
      </c>
      <c r="E1190" s="24">
        <v>1</v>
      </c>
      <c r="F1190" s="24" t="s">
        <v>584</v>
      </c>
      <c r="G1190" s="24">
        <v>0</v>
      </c>
      <c r="H1190" s="24">
        <v>65535</v>
      </c>
      <c r="I1190" s="24" t="s">
        <v>1070</v>
      </c>
      <c r="J1190" s="101" t="s">
        <v>1376</v>
      </c>
      <c r="K1190" s="24" t="s">
        <v>780</v>
      </c>
    </row>
    <row r="1191" outlineLevel="1" spans="1:11">
      <c r="A1191" s="24"/>
      <c r="B1191" s="81" t="str">
        <f t="shared" si="38"/>
        <v>09C2</v>
      </c>
      <c r="C1191" s="67" t="s">
        <v>1377</v>
      </c>
      <c r="D1191" s="24" t="s">
        <v>89</v>
      </c>
      <c r="E1191" s="24">
        <v>1</v>
      </c>
      <c r="F1191" s="24" t="s">
        <v>584</v>
      </c>
      <c r="G1191" s="24">
        <v>0</v>
      </c>
      <c r="H1191" s="24">
        <v>65535</v>
      </c>
      <c r="I1191" s="24" t="s">
        <v>1070</v>
      </c>
      <c r="J1191" s="101" t="s">
        <v>1378</v>
      </c>
      <c r="K1191" s="24" t="s">
        <v>780</v>
      </c>
    </row>
    <row r="1192" outlineLevel="1" spans="1:11">
      <c r="A1192" s="24"/>
      <c r="B1192" s="81" t="str">
        <f t="shared" si="38"/>
        <v>09C3</v>
      </c>
      <c r="C1192" s="67" t="s">
        <v>1379</v>
      </c>
      <c r="D1192" s="24" t="s">
        <v>89</v>
      </c>
      <c r="E1192" s="24">
        <v>1</v>
      </c>
      <c r="F1192" s="24" t="s">
        <v>1102</v>
      </c>
      <c r="G1192" s="24">
        <v>0</v>
      </c>
      <c r="H1192" s="24">
        <v>65535</v>
      </c>
      <c r="I1192" s="24" t="s">
        <v>1070</v>
      </c>
      <c r="J1192" s="101" t="s">
        <v>1380</v>
      </c>
      <c r="K1192" s="24" t="s">
        <v>780</v>
      </c>
    </row>
    <row r="1193" outlineLevel="1" spans="1:11">
      <c r="A1193" s="24"/>
      <c r="B1193" s="81" t="str">
        <f t="shared" si="38"/>
        <v>09C4</v>
      </c>
      <c r="C1193" s="67" t="s">
        <v>1381</v>
      </c>
      <c r="D1193" s="24" t="s">
        <v>89</v>
      </c>
      <c r="E1193" s="24">
        <v>1</v>
      </c>
      <c r="F1193" s="24" t="s">
        <v>584</v>
      </c>
      <c r="G1193" s="24">
        <v>0</v>
      </c>
      <c r="H1193" s="24">
        <v>65535</v>
      </c>
      <c r="I1193" s="24" t="s">
        <v>1070</v>
      </c>
      <c r="J1193" s="101" t="s">
        <v>1382</v>
      </c>
      <c r="K1193" s="24" t="s">
        <v>780</v>
      </c>
    </row>
    <row r="1194" outlineLevel="1" spans="1:11">
      <c r="A1194" s="24"/>
      <c r="B1194" s="81" t="str">
        <f t="shared" si="38"/>
        <v>09C5</v>
      </c>
      <c r="C1194" s="67" t="s">
        <v>1383</v>
      </c>
      <c r="D1194" s="24" t="s">
        <v>89</v>
      </c>
      <c r="E1194" s="24">
        <v>1</v>
      </c>
      <c r="F1194" s="24" t="s">
        <v>1102</v>
      </c>
      <c r="G1194" s="24">
        <v>0</v>
      </c>
      <c r="H1194" s="24">
        <v>65535</v>
      </c>
      <c r="I1194" s="24" t="s">
        <v>1070</v>
      </c>
      <c r="J1194" s="101" t="s">
        <v>1384</v>
      </c>
      <c r="K1194" s="24" t="s">
        <v>780</v>
      </c>
    </row>
    <row r="1195" outlineLevel="1" spans="1:11">
      <c r="A1195" s="24"/>
      <c r="B1195" s="81" t="str">
        <f t="shared" si="38"/>
        <v>09C6</v>
      </c>
      <c r="C1195" s="67" t="s">
        <v>1385</v>
      </c>
      <c r="D1195" s="24" t="s">
        <v>89</v>
      </c>
      <c r="E1195" s="24">
        <v>1</v>
      </c>
      <c r="F1195" s="24" t="s">
        <v>584</v>
      </c>
      <c r="G1195" s="24">
        <v>0</v>
      </c>
      <c r="H1195" s="24">
        <v>65535</v>
      </c>
      <c r="I1195" s="24" t="s">
        <v>1070</v>
      </c>
      <c r="J1195" s="101" t="s">
        <v>1386</v>
      </c>
      <c r="K1195" s="24" t="s">
        <v>780</v>
      </c>
    </row>
    <row r="1196" outlineLevel="1" spans="1:11">
      <c r="A1196" s="24"/>
      <c r="B1196" s="81" t="str">
        <f t="shared" si="38"/>
        <v>09C7</v>
      </c>
      <c r="C1196" s="67" t="s">
        <v>1387</v>
      </c>
      <c r="D1196" s="24" t="s">
        <v>89</v>
      </c>
      <c r="E1196" s="24">
        <v>1</v>
      </c>
      <c r="F1196" s="24" t="s">
        <v>1102</v>
      </c>
      <c r="G1196" s="24">
        <v>0</v>
      </c>
      <c r="H1196" s="24">
        <v>65535</v>
      </c>
      <c r="I1196" s="24" t="s">
        <v>1070</v>
      </c>
      <c r="J1196" s="101" t="s">
        <v>1388</v>
      </c>
      <c r="K1196" s="24" t="s">
        <v>780</v>
      </c>
    </row>
    <row r="1197" outlineLevel="1" spans="1:11">
      <c r="A1197" s="24"/>
      <c r="B1197" s="81" t="str">
        <f t="shared" si="38"/>
        <v>09C8</v>
      </c>
      <c r="C1197" s="67" t="s">
        <v>1389</v>
      </c>
      <c r="D1197" s="24" t="s">
        <v>89</v>
      </c>
      <c r="E1197" s="24">
        <v>1</v>
      </c>
      <c r="F1197" s="24" t="s">
        <v>584</v>
      </c>
      <c r="G1197" s="24">
        <v>0</v>
      </c>
      <c r="H1197" s="24">
        <v>65535</v>
      </c>
      <c r="I1197" s="24" t="s">
        <v>1070</v>
      </c>
      <c r="J1197" s="101" t="s">
        <v>1390</v>
      </c>
      <c r="K1197" s="24" t="s">
        <v>780</v>
      </c>
    </row>
    <row r="1198" outlineLevel="1" spans="1:11">
      <c r="A1198" s="24"/>
      <c r="B1198" s="81" t="str">
        <f t="shared" si="38"/>
        <v>09C9</v>
      </c>
      <c r="C1198" s="67" t="s">
        <v>1391</v>
      </c>
      <c r="D1198" s="24" t="s">
        <v>89</v>
      </c>
      <c r="E1198" s="24">
        <v>1</v>
      </c>
      <c r="F1198" s="24" t="s">
        <v>1102</v>
      </c>
      <c r="G1198" s="24">
        <v>0</v>
      </c>
      <c r="H1198" s="24">
        <v>65535</v>
      </c>
      <c r="I1198" s="24" t="s">
        <v>1070</v>
      </c>
      <c r="J1198" s="101" t="s">
        <v>1392</v>
      </c>
      <c r="K1198" s="24" t="s">
        <v>780</v>
      </c>
    </row>
    <row r="1199" outlineLevel="1" spans="1:11">
      <c r="A1199" s="24"/>
      <c r="B1199" s="81" t="str">
        <f t="shared" si="38"/>
        <v>09CA</v>
      </c>
      <c r="C1199" s="67" t="s">
        <v>1393</v>
      </c>
      <c r="D1199" s="24" t="s">
        <v>89</v>
      </c>
      <c r="E1199" s="24">
        <v>0.1</v>
      </c>
      <c r="F1199" s="24" t="s">
        <v>310</v>
      </c>
      <c r="G1199" s="24">
        <v>0</v>
      </c>
      <c r="H1199" s="24">
        <v>65535</v>
      </c>
      <c r="I1199" s="24" t="s">
        <v>1070</v>
      </c>
      <c r="J1199" s="101" t="s">
        <v>1394</v>
      </c>
      <c r="K1199" s="24" t="s">
        <v>780</v>
      </c>
    </row>
    <row r="1200" ht="28.5" outlineLevel="1" spans="1:11">
      <c r="A1200" s="24"/>
      <c r="B1200" s="81" t="str">
        <f t="shared" si="38"/>
        <v>09CB</v>
      </c>
      <c r="C1200" s="67" t="s">
        <v>1395</v>
      </c>
      <c r="D1200" s="24" t="s">
        <v>89</v>
      </c>
      <c r="E1200" s="24">
        <v>1</v>
      </c>
      <c r="F1200" s="24" t="s">
        <v>1102</v>
      </c>
      <c r="G1200" s="24">
        <v>0</v>
      </c>
      <c r="H1200" s="24">
        <v>65535</v>
      </c>
      <c r="I1200" s="24" t="s">
        <v>1070</v>
      </c>
      <c r="J1200" s="101" t="s">
        <v>1396</v>
      </c>
      <c r="K1200" s="24" t="s">
        <v>780</v>
      </c>
    </row>
    <row r="1201" outlineLevel="1" spans="1:11">
      <c r="A1201" s="24"/>
      <c r="B1201" s="81" t="str">
        <f t="shared" si="38"/>
        <v>09CC</v>
      </c>
      <c r="C1201" s="67" t="s">
        <v>1397</v>
      </c>
      <c r="D1201" s="24" t="s">
        <v>89</v>
      </c>
      <c r="E1201" s="24">
        <v>1</v>
      </c>
      <c r="F1201" s="24" t="s">
        <v>1073</v>
      </c>
      <c r="G1201" s="24">
        <v>1</v>
      </c>
      <c r="H1201" s="24">
        <v>300</v>
      </c>
      <c r="I1201" s="24" t="s">
        <v>1070</v>
      </c>
      <c r="J1201" s="101" t="s">
        <v>1398</v>
      </c>
      <c r="K1201" s="24" t="s">
        <v>780</v>
      </c>
    </row>
    <row r="1202" outlineLevel="1" spans="1:11">
      <c r="A1202" s="24"/>
      <c r="B1202" s="81" t="str">
        <f t="shared" si="38"/>
        <v>09CD</v>
      </c>
      <c r="C1202" s="67" t="s">
        <v>1399</v>
      </c>
      <c r="D1202" s="24" t="s">
        <v>89</v>
      </c>
      <c r="E1202" s="24">
        <v>1</v>
      </c>
      <c r="F1202" s="24" t="s">
        <v>584</v>
      </c>
      <c r="G1202" s="24">
        <v>0</v>
      </c>
      <c r="H1202" s="24">
        <v>65535</v>
      </c>
      <c r="I1202" s="24" t="s">
        <v>1070</v>
      </c>
      <c r="J1202" s="101" t="s">
        <v>1400</v>
      </c>
      <c r="K1202" s="24" t="s">
        <v>780</v>
      </c>
    </row>
    <row r="1203" outlineLevel="1" spans="1:11">
      <c r="A1203" s="24"/>
      <c r="B1203" s="81" t="str">
        <f t="shared" si="38"/>
        <v>09CE</v>
      </c>
      <c r="C1203" s="67" t="s">
        <v>1401</v>
      </c>
      <c r="D1203" s="24" t="s">
        <v>89</v>
      </c>
      <c r="E1203" s="24">
        <v>1</v>
      </c>
      <c r="F1203" s="24" t="s">
        <v>584</v>
      </c>
      <c r="G1203" s="24">
        <v>0</v>
      </c>
      <c r="H1203" s="24">
        <v>65535</v>
      </c>
      <c r="I1203" s="24" t="s">
        <v>1070</v>
      </c>
      <c r="J1203" s="101" t="s">
        <v>1402</v>
      </c>
      <c r="K1203" s="24" t="s">
        <v>780</v>
      </c>
    </row>
    <row r="1204" outlineLevel="1" spans="1:11">
      <c r="A1204" s="24"/>
      <c r="B1204" s="81" t="str">
        <f t="shared" si="38"/>
        <v>09CF</v>
      </c>
      <c r="C1204" s="67" t="s">
        <v>1403</v>
      </c>
      <c r="D1204" s="24" t="s">
        <v>89</v>
      </c>
      <c r="E1204" s="24">
        <v>10</v>
      </c>
      <c r="F1204" s="24" t="s">
        <v>1102</v>
      </c>
      <c r="G1204" s="24">
        <v>0</v>
      </c>
      <c r="H1204" s="24">
        <v>65535</v>
      </c>
      <c r="I1204" s="24" t="s">
        <v>1070</v>
      </c>
      <c r="J1204" s="101" t="s">
        <v>1404</v>
      </c>
      <c r="K1204" s="24" t="s">
        <v>780</v>
      </c>
    </row>
    <row r="1205" outlineLevel="1" spans="1:11">
      <c r="A1205" s="24"/>
      <c r="B1205" s="81" t="str">
        <f t="shared" si="38"/>
        <v>09D0</v>
      </c>
      <c r="C1205" s="67" t="s">
        <v>1405</v>
      </c>
      <c r="D1205" s="24" t="s">
        <v>89</v>
      </c>
      <c r="E1205" s="24">
        <v>1</v>
      </c>
      <c r="F1205" s="24" t="s">
        <v>584</v>
      </c>
      <c r="G1205" s="24">
        <v>0</v>
      </c>
      <c r="H1205" s="24">
        <v>65535</v>
      </c>
      <c r="I1205" s="24" t="s">
        <v>1070</v>
      </c>
      <c r="J1205" s="101" t="s">
        <v>1406</v>
      </c>
      <c r="K1205" s="24" t="s">
        <v>780</v>
      </c>
    </row>
    <row r="1206" outlineLevel="1" spans="1:11">
      <c r="A1206" s="24"/>
      <c r="B1206" s="81" t="str">
        <f t="shared" si="38"/>
        <v>09D1</v>
      </c>
      <c r="C1206" s="67" t="s">
        <v>1407</v>
      </c>
      <c r="D1206" s="24" t="s">
        <v>89</v>
      </c>
      <c r="E1206" s="24">
        <v>10</v>
      </c>
      <c r="F1206" s="24" t="s">
        <v>1102</v>
      </c>
      <c r="G1206" s="24">
        <v>0</v>
      </c>
      <c r="H1206" s="24">
        <v>65535</v>
      </c>
      <c r="I1206" s="24" t="s">
        <v>1070</v>
      </c>
      <c r="J1206" s="101" t="s">
        <v>1408</v>
      </c>
      <c r="K1206" s="24" t="s">
        <v>780</v>
      </c>
    </row>
    <row r="1207" outlineLevel="1" spans="1:11">
      <c r="A1207" s="24"/>
      <c r="B1207" s="81" t="str">
        <f t="shared" si="38"/>
        <v>09D2</v>
      </c>
      <c r="C1207" s="67" t="s">
        <v>1409</v>
      </c>
      <c r="D1207" s="24" t="s">
        <v>89</v>
      </c>
      <c r="E1207" s="24">
        <v>1</v>
      </c>
      <c r="F1207" s="24" t="s">
        <v>584</v>
      </c>
      <c r="G1207" s="24">
        <v>0</v>
      </c>
      <c r="H1207" s="24">
        <v>65535</v>
      </c>
      <c r="I1207" s="24" t="s">
        <v>1070</v>
      </c>
      <c r="J1207" s="101" t="s">
        <v>1410</v>
      </c>
      <c r="K1207" s="24" t="s">
        <v>780</v>
      </c>
    </row>
    <row r="1208" outlineLevel="1" spans="1:11">
      <c r="A1208" s="24"/>
      <c r="B1208" s="81" t="str">
        <f t="shared" si="38"/>
        <v>09D3</v>
      </c>
      <c r="C1208" s="67" t="s">
        <v>1411</v>
      </c>
      <c r="D1208" s="24" t="s">
        <v>89</v>
      </c>
      <c r="E1208" s="24">
        <v>10</v>
      </c>
      <c r="F1208" s="24" t="s">
        <v>1102</v>
      </c>
      <c r="G1208" s="24">
        <v>0</v>
      </c>
      <c r="H1208" s="24">
        <v>65535</v>
      </c>
      <c r="I1208" s="24" t="s">
        <v>1070</v>
      </c>
      <c r="J1208" s="101" t="s">
        <v>1412</v>
      </c>
      <c r="K1208" s="24" t="s">
        <v>780</v>
      </c>
    </row>
    <row r="1209" outlineLevel="1" spans="1:11">
      <c r="A1209" s="24"/>
      <c r="B1209" s="81" t="str">
        <f t="shared" si="38"/>
        <v>09D4</v>
      </c>
      <c r="C1209" s="67" t="s">
        <v>1413</v>
      </c>
      <c r="D1209" s="24" t="s">
        <v>89</v>
      </c>
      <c r="E1209" s="24">
        <v>1</v>
      </c>
      <c r="F1209" s="24" t="s">
        <v>584</v>
      </c>
      <c r="G1209" s="24">
        <v>0</v>
      </c>
      <c r="H1209" s="24">
        <v>65535</v>
      </c>
      <c r="I1209" s="24" t="s">
        <v>1070</v>
      </c>
      <c r="J1209" s="101" t="s">
        <v>1414</v>
      </c>
      <c r="K1209" s="24" t="s">
        <v>780</v>
      </c>
    </row>
    <row r="1210" outlineLevel="1" spans="1:11">
      <c r="A1210" s="24"/>
      <c r="B1210" s="81" t="str">
        <f t="shared" si="38"/>
        <v>09D5</v>
      </c>
      <c r="C1210" s="67" t="s">
        <v>1415</v>
      </c>
      <c r="D1210" s="24" t="s">
        <v>89</v>
      </c>
      <c r="E1210" s="24">
        <v>10</v>
      </c>
      <c r="F1210" s="24" t="s">
        <v>1102</v>
      </c>
      <c r="G1210" s="24">
        <v>0</v>
      </c>
      <c r="H1210" s="24">
        <v>65535</v>
      </c>
      <c r="I1210" s="24" t="s">
        <v>1070</v>
      </c>
      <c r="J1210" s="101" t="s">
        <v>1416</v>
      </c>
      <c r="K1210" s="24" t="s">
        <v>780</v>
      </c>
    </row>
    <row r="1211" outlineLevel="1" spans="1:11">
      <c r="A1211" s="24"/>
      <c r="B1211" s="81" t="str">
        <f t="shared" si="38"/>
        <v>09D6</v>
      </c>
      <c r="C1211" s="67" t="s">
        <v>1417</v>
      </c>
      <c r="D1211" s="24" t="s">
        <v>89</v>
      </c>
      <c r="E1211" s="24">
        <v>0.1</v>
      </c>
      <c r="F1211" s="24" t="s">
        <v>310</v>
      </c>
      <c r="G1211" s="24">
        <v>0</v>
      </c>
      <c r="H1211" s="24">
        <v>65535</v>
      </c>
      <c r="I1211" s="24" t="s">
        <v>1070</v>
      </c>
      <c r="J1211" s="101" t="s">
        <v>1418</v>
      </c>
      <c r="K1211" s="24" t="s">
        <v>780</v>
      </c>
    </row>
    <row r="1212" ht="28.5" outlineLevel="1" spans="1:11">
      <c r="A1212" s="24"/>
      <c r="B1212" s="81" t="str">
        <f t="shared" si="38"/>
        <v>09D7</v>
      </c>
      <c r="C1212" s="67" t="s">
        <v>1419</v>
      </c>
      <c r="D1212" s="24" t="s">
        <v>89</v>
      </c>
      <c r="E1212" s="24">
        <v>1</v>
      </c>
      <c r="F1212" s="24" t="s">
        <v>1102</v>
      </c>
      <c r="G1212" s="24">
        <v>0</v>
      </c>
      <c r="H1212" s="24">
        <v>65535</v>
      </c>
      <c r="I1212" s="24" t="s">
        <v>1070</v>
      </c>
      <c r="J1212" s="101" t="s">
        <v>1420</v>
      </c>
      <c r="K1212" s="24" t="s">
        <v>780</v>
      </c>
    </row>
    <row r="1213" outlineLevel="1" spans="1:11">
      <c r="A1213" s="24"/>
      <c r="B1213" s="81" t="str">
        <f t="shared" si="38"/>
        <v>09D8</v>
      </c>
      <c r="C1213" s="67" t="s">
        <v>1421</v>
      </c>
      <c r="D1213" s="24" t="s">
        <v>89</v>
      </c>
      <c r="E1213" s="24">
        <v>1</v>
      </c>
      <c r="F1213" s="24" t="s">
        <v>1073</v>
      </c>
      <c r="G1213" s="24">
        <v>1</v>
      </c>
      <c r="H1213" s="24">
        <v>300</v>
      </c>
      <c r="I1213" s="24" t="s">
        <v>1070</v>
      </c>
      <c r="J1213" s="101" t="s">
        <v>1422</v>
      </c>
      <c r="K1213" s="24" t="s">
        <v>780</v>
      </c>
    </row>
    <row r="1214" ht="28.5" outlineLevel="1" spans="1:11">
      <c r="A1214" s="24"/>
      <c r="B1214" s="81" t="str">
        <f t="shared" si="38"/>
        <v>09D9</v>
      </c>
      <c r="C1214" s="67" t="s">
        <v>1423</v>
      </c>
      <c r="D1214" s="24" t="s">
        <v>89</v>
      </c>
      <c r="E1214" s="24">
        <v>1</v>
      </c>
      <c r="F1214" s="24" t="s">
        <v>584</v>
      </c>
      <c r="G1214" s="24">
        <v>0</v>
      </c>
      <c r="H1214" s="24">
        <v>65535</v>
      </c>
      <c r="I1214" s="24" t="s">
        <v>1070</v>
      </c>
      <c r="J1214" s="101" t="s">
        <v>1424</v>
      </c>
      <c r="K1214" s="24" t="s">
        <v>780</v>
      </c>
    </row>
    <row r="1215" ht="28.5" outlineLevel="1" spans="1:11">
      <c r="A1215" s="24"/>
      <c r="B1215" s="81" t="str">
        <f t="shared" si="38"/>
        <v>09DA</v>
      </c>
      <c r="C1215" s="67" t="s">
        <v>1425</v>
      </c>
      <c r="D1215" s="24" t="s">
        <v>89</v>
      </c>
      <c r="E1215" s="24">
        <v>1</v>
      </c>
      <c r="F1215" s="24" t="s">
        <v>584</v>
      </c>
      <c r="G1215" s="24">
        <v>0</v>
      </c>
      <c r="H1215" s="24">
        <v>65535</v>
      </c>
      <c r="I1215" s="24" t="s">
        <v>1070</v>
      </c>
      <c r="J1215" s="101" t="s">
        <v>1426</v>
      </c>
      <c r="K1215" s="24" t="s">
        <v>780</v>
      </c>
    </row>
    <row r="1216" s="22" customFormat="1" outlineLevel="1" spans="1:11">
      <c r="A1216" s="24"/>
      <c r="B1216" s="81" t="str">
        <f t="shared" si="38"/>
        <v>09DB</v>
      </c>
      <c r="C1216" s="67" t="s">
        <v>1427</v>
      </c>
      <c r="D1216" s="24" t="s">
        <v>89</v>
      </c>
      <c r="E1216" s="24">
        <v>1</v>
      </c>
      <c r="F1216" s="24" t="s">
        <v>584</v>
      </c>
      <c r="G1216" s="24">
        <v>0</v>
      </c>
      <c r="H1216" s="24">
        <v>65535</v>
      </c>
      <c r="I1216" s="24" t="s">
        <v>1070</v>
      </c>
      <c r="J1216" s="101" t="s">
        <v>1428</v>
      </c>
      <c r="K1216" s="24" t="s">
        <v>780</v>
      </c>
    </row>
    <row r="1217" s="22" customFormat="1" ht="28.5" outlineLevel="1" spans="1:11">
      <c r="A1217" s="24"/>
      <c r="B1217" s="81" t="str">
        <f t="shared" si="38"/>
        <v>09DC</v>
      </c>
      <c r="C1217" s="67" t="s">
        <v>1429</v>
      </c>
      <c r="D1217" s="24" t="s">
        <v>89</v>
      </c>
      <c r="E1217" s="24">
        <v>1</v>
      </c>
      <c r="F1217" s="24" t="s">
        <v>584</v>
      </c>
      <c r="G1217" s="24">
        <v>0</v>
      </c>
      <c r="H1217" s="24">
        <v>65535</v>
      </c>
      <c r="I1217" s="24" t="s">
        <v>1070</v>
      </c>
      <c r="J1217" s="101" t="s">
        <v>1430</v>
      </c>
      <c r="K1217" s="24" t="s">
        <v>780</v>
      </c>
    </row>
    <row r="1218" s="22" customFormat="1" outlineLevel="1" spans="1:11">
      <c r="A1218" s="24"/>
      <c r="B1218" s="81" t="str">
        <f t="shared" si="38"/>
        <v>09DD</v>
      </c>
      <c r="C1218" s="67" t="s">
        <v>1431</v>
      </c>
      <c r="D1218" s="24" t="s">
        <v>89</v>
      </c>
      <c r="E1218" s="24">
        <v>1</v>
      </c>
      <c r="F1218" s="24" t="s">
        <v>584</v>
      </c>
      <c r="G1218" s="24">
        <v>0</v>
      </c>
      <c r="H1218" s="24">
        <v>65535</v>
      </c>
      <c r="I1218" s="24" t="s">
        <v>1070</v>
      </c>
      <c r="J1218" s="101" t="s">
        <v>1432</v>
      </c>
      <c r="K1218" s="24" t="s">
        <v>780</v>
      </c>
    </row>
    <row r="1219" s="22" customFormat="1" ht="28.5" outlineLevel="1" spans="1:11">
      <c r="A1219" s="24"/>
      <c r="B1219" s="81" t="str">
        <f t="shared" si="38"/>
        <v>09DE</v>
      </c>
      <c r="C1219" s="67" t="s">
        <v>1433</v>
      </c>
      <c r="D1219" s="24" t="s">
        <v>89</v>
      </c>
      <c r="E1219" s="24">
        <v>1</v>
      </c>
      <c r="F1219" s="24" t="s">
        <v>584</v>
      </c>
      <c r="G1219" s="24">
        <v>0</v>
      </c>
      <c r="H1219" s="24">
        <v>65535</v>
      </c>
      <c r="I1219" s="24" t="s">
        <v>1070</v>
      </c>
      <c r="J1219" s="101" t="s">
        <v>1434</v>
      </c>
      <c r="K1219" s="24" t="s">
        <v>780</v>
      </c>
    </row>
    <row r="1220" outlineLevel="1" spans="1:11">
      <c r="A1220" s="24"/>
      <c r="B1220" s="81"/>
      <c r="C1220" s="67"/>
      <c r="D1220" s="24"/>
      <c r="E1220" s="24"/>
      <c r="F1220" s="24"/>
      <c r="G1220" s="24"/>
      <c r="H1220" s="24"/>
      <c r="I1220" s="24"/>
      <c r="J1220" s="67"/>
      <c r="K1220" s="24"/>
    </row>
    <row r="1221" outlineLevel="1" spans="1:11">
      <c r="A1221" s="24"/>
      <c r="B1221" s="81"/>
      <c r="C1221" s="67"/>
      <c r="D1221" s="24"/>
      <c r="E1221" s="24"/>
      <c r="F1221" s="24"/>
      <c r="G1221" s="24"/>
      <c r="H1221" s="24"/>
      <c r="I1221" s="24"/>
      <c r="J1221" s="67"/>
      <c r="K1221" s="24"/>
    </row>
    <row r="1222" outlineLevel="1" spans="1:11">
      <c r="A1222" s="24"/>
      <c r="B1222" s="81"/>
      <c r="C1222" s="67"/>
      <c r="D1222" s="24"/>
      <c r="E1222" s="24"/>
      <c r="F1222" s="24"/>
      <c r="G1222" s="24"/>
      <c r="H1222" s="24"/>
      <c r="I1222" s="24"/>
      <c r="J1222" s="67"/>
      <c r="K1222" s="24"/>
    </row>
    <row r="1223" spans="1:11">
      <c r="A1223" s="24"/>
      <c r="B1223" s="81"/>
      <c r="C1223" s="67"/>
      <c r="D1223" s="24"/>
      <c r="E1223" s="24"/>
      <c r="F1223" s="24"/>
      <c r="G1223" s="24"/>
      <c r="H1223" s="24"/>
      <c r="I1223" s="24"/>
      <c r="J1223" s="67"/>
      <c r="K1223" s="24"/>
    </row>
    <row r="1224" spans="1:11">
      <c r="A1224" s="66" t="s">
        <v>1435</v>
      </c>
      <c r="B1224" s="66"/>
      <c r="C1224" s="66"/>
      <c r="D1224" s="66"/>
      <c r="E1224" s="66"/>
      <c r="F1224" s="66"/>
      <c r="G1224" s="66"/>
      <c r="H1224" s="66"/>
      <c r="I1224" s="66"/>
      <c r="J1224" s="66"/>
      <c r="K1224" s="66"/>
    </row>
    <row r="1225" outlineLevel="1" spans="1:11">
      <c r="A1225" s="24"/>
      <c r="B1225" s="81" t="str">
        <f>DEC2HEX(2560+ROW()-ROW($B$1225),4)</f>
        <v>0A00</v>
      </c>
      <c r="C1225" s="67" t="s">
        <v>1436</v>
      </c>
      <c r="D1225" s="24" t="s">
        <v>89</v>
      </c>
      <c r="E1225" s="24"/>
      <c r="F1225" s="24"/>
      <c r="G1225" s="24"/>
      <c r="H1225" s="24"/>
      <c r="I1225" s="24" t="s">
        <v>1070</v>
      </c>
      <c r="J1225" s="101" t="s">
        <v>1437</v>
      </c>
      <c r="K1225" s="24" t="s">
        <v>780</v>
      </c>
    </row>
    <row r="1226" outlineLevel="1" spans="1:11">
      <c r="A1226" s="24"/>
      <c r="B1226" s="81" t="str">
        <f t="shared" ref="B1226:B1238" si="39">DEC2HEX(2560+ROW()-ROW($B$1225),4)</f>
        <v>0A01</v>
      </c>
      <c r="C1226" s="67" t="s">
        <v>1438</v>
      </c>
      <c r="D1226" s="24" t="s">
        <v>89</v>
      </c>
      <c r="E1226" s="24"/>
      <c r="F1226" s="24"/>
      <c r="G1226" s="24"/>
      <c r="H1226" s="24"/>
      <c r="I1226" s="24" t="s">
        <v>1070</v>
      </c>
      <c r="J1226" s="101" t="s">
        <v>1439</v>
      </c>
      <c r="K1226" s="24" t="s">
        <v>780</v>
      </c>
    </row>
    <row r="1227" ht="28.5" outlineLevel="1" spans="1:11">
      <c r="A1227" s="24"/>
      <c r="B1227" s="81" t="str">
        <f t="shared" si="39"/>
        <v>0A02</v>
      </c>
      <c r="C1227" s="67" t="s">
        <v>1440</v>
      </c>
      <c r="D1227" s="24" t="s">
        <v>89</v>
      </c>
      <c r="E1227" s="24"/>
      <c r="F1227" s="24"/>
      <c r="G1227" s="24"/>
      <c r="H1227" s="24"/>
      <c r="I1227" s="24" t="s">
        <v>1070</v>
      </c>
      <c r="J1227" s="101" t="s">
        <v>1441</v>
      </c>
      <c r="K1227" s="24" t="s">
        <v>780</v>
      </c>
    </row>
    <row r="1228" outlineLevel="1" spans="1:11">
      <c r="A1228" s="24"/>
      <c r="B1228" s="81" t="str">
        <f t="shared" si="39"/>
        <v>0A03</v>
      </c>
      <c r="C1228" s="67" t="s">
        <v>1442</v>
      </c>
      <c r="D1228" s="24" t="s">
        <v>89</v>
      </c>
      <c r="E1228" s="24">
        <v>1</v>
      </c>
      <c r="F1228" s="24" t="s">
        <v>169</v>
      </c>
      <c r="G1228" s="24">
        <v>30</v>
      </c>
      <c r="H1228" s="24">
        <v>65535</v>
      </c>
      <c r="I1228" s="24" t="s">
        <v>1070</v>
      </c>
      <c r="J1228" s="101" t="s">
        <v>1443</v>
      </c>
      <c r="K1228" s="24" t="s">
        <v>780</v>
      </c>
    </row>
    <row r="1229" outlineLevel="1" spans="1:11">
      <c r="A1229" s="24"/>
      <c r="B1229" s="81" t="str">
        <f t="shared" si="39"/>
        <v>0A04</v>
      </c>
      <c r="C1229" s="67" t="s">
        <v>1444</v>
      </c>
      <c r="D1229" s="24" t="s">
        <v>89</v>
      </c>
      <c r="E1229" s="24">
        <v>1</v>
      </c>
      <c r="F1229" s="24" t="s">
        <v>782</v>
      </c>
      <c r="G1229" s="24">
        <v>1</v>
      </c>
      <c r="H1229" s="24">
        <v>50</v>
      </c>
      <c r="I1229" s="24" t="s">
        <v>1070</v>
      </c>
      <c r="J1229" s="101" t="s">
        <v>1445</v>
      </c>
      <c r="K1229" s="24" t="s">
        <v>780</v>
      </c>
    </row>
    <row r="1230" s="22" customFormat="1" ht="28.5" outlineLevel="1" spans="1:11">
      <c r="A1230" s="24"/>
      <c r="B1230" s="81" t="str">
        <f t="shared" si="39"/>
        <v>0A05</v>
      </c>
      <c r="C1230" s="67" t="s">
        <v>1446</v>
      </c>
      <c r="D1230" s="24" t="s">
        <v>89</v>
      </c>
      <c r="E1230" s="24">
        <v>1</v>
      </c>
      <c r="F1230" s="24" t="s">
        <v>1447</v>
      </c>
      <c r="G1230" s="24">
        <v>1</v>
      </c>
      <c r="H1230" s="24">
        <v>50</v>
      </c>
      <c r="I1230" s="24" t="s">
        <v>1070</v>
      </c>
      <c r="J1230" s="101" t="s">
        <v>1448</v>
      </c>
      <c r="K1230" s="24" t="s">
        <v>780</v>
      </c>
    </row>
    <row r="1231" s="22" customFormat="1" outlineLevel="1" spans="1:11">
      <c r="A1231" s="24"/>
      <c r="B1231" s="81" t="str">
        <f t="shared" si="39"/>
        <v>0A06</v>
      </c>
      <c r="C1231" s="24"/>
      <c r="D1231" s="24"/>
      <c r="E1231" s="24"/>
      <c r="F1231" s="24"/>
      <c r="G1231" s="24"/>
      <c r="H1231" s="24"/>
      <c r="I1231" s="24"/>
      <c r="J1231" s="24"/>
      <c r="K1231" s="24"/>
    </row>
    <row r="1232" s="22" customFormat="1" outlineLevel="1" spans="1:11">
      <c r="A1232" s="24"/>
      <c r="B1232" s="81" t="str">
        <f t="shared" si="39"/>
        <v>0A07</v>
      </c>
      <c r="C1232" s="24"/>
      <c r="D1232" s="24"/>
      <c r="E1232" s="24"/>
      <c r="F1232" s="24"/>
      <c r="G1232" s="24"/>
      <c r="H1232" s="24"/>
      <c r="I1232" s="24"/>
      <c r="J1232" s="24"/>
      <c r="K1232" s="24"/>
    </row>
    <row r="1233" s="22" customFormat="1" outlineLevel="1" spans="1:11">
      <c r="A1233" s="24"/>
      <c r="B1233" s="81" t="str">
        <f t="shared" si="39"/>
        <v>0A08</v>
      </c>
      <c r="C1233" s="24"/>
      <c r="D1233" s="24"/>
      <c r="E1233" s="24"/>
      <c r="F1233" s="24"/>
      <c r="G1233" s="24"/>
      <c r="H1233" s="24"/>
      <c r="I1233" s="24"/>
      <c r="J1233" s="24"/>
      <c r="K1233" s="24"/>
    </row>
    <row r="1234" s="22" customFormat="1" outlineLevel="1" spans="1:11">
      <c r="A1234" s="24"/>
      <c r="B1234" s="81" t="str">
        <f t="shared" si="39"/>
        <v>0A09</v>
      </c>
      <c r="C1234" s="24"/>
      <c r="D1234" s="24"/>
      <c r="E1234" s="24"/>
      <c r="F1234" s="24"/>
      <c r="G1234" s="24"/>
      <c r="H1234" s="24"/>
      <c r="I1234" s="24"/>
      <c r="J1234" s="24"/>
      <c r="K1234" s="24"/>
    </row>
    <row r="1235" s="22" customFormat="1" outlineLevel="1" spans="1:11">
      <c r="A1235" s="24"/>
      <c r="B1235" s="81" t="str">
        <f t="shared" si="39"/>
        <v>0A0A</v>
      </c>
      <c r="C1235" s="24"/>
      <c r="D1235" s="24"/>
      <c r="E1235" s="24"/>
      <c r="F1235" s="24"/>
      <c r="G1235" s="24"/>
      <c r="H1235" s="24"/>
      <c r="I1235" s="24"/>
      <c r="J1235" s="24"/>
      <c r="K1235" s="24"/>
    </row>
    <row r="1236" s="22" customFormat="1" outlineLevel="1" spans="1:11">
      <c r="A1236" s="24"/>
      <c r="B1236" s="81" t="str">
        <f t="shared" si="39"/>
        <v>0A0B</v>
      </c>
      <c r="C1236" s="24"/>
      <c r="D1236" s="24"/>
      <c r="E1236" s="24"/>
      <c r="F1236" s="24"/>
      <c r="G1236" s="24"/>
      <c r="H1236" s="24"/>
      <c r="I1236" s="24"/>
      <c r="J1236" s="24"/>
      <c r="K1236" s="24"/>
    </row>
    <row r="1237" s="22" customFormat="1" outlineLevel="1" spans="1:11">
      <c r="A1237" s="24"/>
      <c r="B1237" s="81" t="str">
        <f t="shared" si="39"/>
        <v>0A0C</v>
      </c>
      <c r="C1237" s="67"/>
      <c r="D1237" s="24"/>
      <c r="E1237" s="24"/>
      <c r="F1237" s="24"/>
      <c r="G1237" s="24"/>
      <c r="H1237" s="24"/>
      <c r="I1237" s="24"/>
      <c r="J1237" s="67"/>
      <c r="K1237" s="24"/>
    </row>
    <row r="1238" s="22" customFormat="1" outlineLevel="1" spans="1:11">
      <c r="A1238" s="24"/>
      <c r="B1238" s="81" t="str">
        <f t="shared" si="39"/>
        <v>0A0D</v>
      </c>
      <c r="C1238" s="67"/>
      <c r="D1238" s="24"/>
      <c r="E1238" s="24"/>
      <c r="F1238" s="24"/>
      <c r="G1238" s="24"/>
      <c r="H1238" s="24"/>
      <c r="I1238" s="24"/>
      <c r="J1238" s="67"/>
      <c r="K1238" s="24"/>
    </row>
    <row r="1239" s="22" customFormat="1" outlineLevel="1" spans="1:11">
      <c r="A1239" s="24"/>
      <c r="B1239" s="81"/>
      <c r="C1239" s="67"/>
      <c r="D1239" s="24"/>
      <c r="E1239" s="24"/>
      <c r="F1239" s="24"/>
      <c r="G1239" s="24"/>
      <c r="H1239" s="24"/>
      <c r="I1239" s="24"/>
      <c r="J1239" s="67"/>
      <c r="K1239" s="24"/>
    </row>
    <row r="1240" s="22" customFormat="1" outlineLevel="1" spans="1:11">
      <c r="A1240" s="24"/>
      <c r="B1240" s="81"/>
      <c r="C1240" s="67"/>
      <c r="D1240" s="24"/>
      <c r="E1240" s="24"/>
      <c r="F1240" s="24"/>
      <c r="G1240" s="24"/>
      <c r="H1240" s="24"/>
      <c r="I1240" s="24"/>
      <c r="J1240" s="67"/>
      <c r="K1240" s="24"/>
    </row>
    <row r="1241" outlineLevel="1" spans="1:11">
      <c r="A1241" s="24"/>
      <c r="B1241" s="81"/>
      <c r="C1241" s="67"/>
      <c r="D1241" s="24"/>
      <c r="E1241" s="24"/>
      <c r="F1241" s="24"/>
      <c r="G1241" s="24"/>
      <c r="H1241" s="24"/>
      <c r="I1241" s="24"/>
      <c r="J1241" s="67"/>
      <c r="K1241" s="24"/>
    </row>
    <row r="1242" spans="1:11">
      <c r="A1242" s="24"/>
      <c r="B1242" s="81"/>
      <c r="C1242" s="67"/>
      <c r="D1242" s="24"/>
      <c r="E1242" s="24"/>
      <c r="F1242" s="24"/>
      <c r="G1242" s="24"/>
      <c r="H1242" s="24"/>
      <c r="I1242" s="24"/>
      <c r="J1242" s="67"/>
      <c r="K1242" s="24"/>
    </row>
    <row r="1243" spans="1:11">
      <c r="A1243" s="24"/>
      <c r="B1243" s="81"/>
      <c r="C1243" s="67"/>
      <c r="D1243" s="24"/>
      <c r="E1243" s="24"/>
      <c r="F1243" s="24"/>
      <c r="G1243" s="24"/>
      <c r="H1243" s="24"/>
      <c r="I1243" s="24"/>
      <c r="J1243" s="67"/>
      <c r="K1243" s="24"/>
    </row>
    <row r="1244" spans="1:11">
      <c r="A1244" s="24"/>
      <c r="B1244" s="81"/>
      <c r="C1244" s="67"/>
      <c r="D1244" s="24"/>
      <c r="E1244" s="24"/>
      <c r="F1244" s="24"/>
      <c r="G1244" s="24"/>
      <c r="H1244" s="24"/>
      <c r="I1244" s="24"/>
      <c r="J1244" s="67"/>
      <c r="K1244" s="24"/>
    </row>
    <row r="1245" spans="1:11">
      <c r="A1245" s="57" t="s">
        <v>1449</v>
      </c>
      <c r="B1245" s="58"/>
      <c r="C1245" s="58"/>
      <c r="D1245" s="58"/>
      <c r="E1245" s="58"/>
      <c r="F1245" s="58"/>
      <c r="G1245" s="58"/>
      <c r="H1245" s="58"/>
      <c r="I1245" s="58"/>
      <c r="J1245" s="58"/>
      <c r="K1245" s="58"/>
    </row>
    <row r="1246" outlineLevel="1" spans="1:11">
      <c r="A1246" s="24"/>
      <c r="B1246" s="81" t="str">
        <f>DEC2HEX(2624+ROW()-ROW($B$1246),4)</f>
        <v>0A40</v>
      </c>
      <c r="C1246" s="67"/>
      <c r="D1246" s="24"/>
      <c r="E1246" s="24"/>
      <c r="F1246" s="24"/>
      <c r="G1246" s="24"/>
      <c r="H1246" s="24"/>
      <c r="I1246" s="24"/>
      <c r="J1246" s="67"/>
      <c r="K1246" s="24" t="s">
        <v>780</v>
      </c>
    </row>
    <row r="1247" outlineLevel="1" spans="1:11">
      <c r="A1247" s="24"/>
      <c r="B1247" s="81"/>
      <c r="C1247" s="67"/>
      <c r="D1247" s="24"/>
      <c r="E1247" s="24"/>
      <c r="F1247" s="24"/>
      <c r="G1247" s="24"/>
      <c r="H1247" s="24"/>
      <c r="I1247" s="24"/>
      <c r="J1247" s="67"/>
      <c r="K1247" s="24"/>
    </row>
    <row r="1248" outlineLevel="1" spans="1:11">
      <c r="A1248" s="24"/>
      <c r="B1248" s="81"/>
      <c r="C1248" s="67"/>
      <c r="D1248" s="24"/>
      <c r="E1248" s="24"/>
      <c r="F1248" s="24"/>
      <c r="G1248" s="24"/>
      <c r="H1248" s="24"/>
      <c r="I1248" s="24"/>
      <c r="J1248" s="67"/>
      <c r="K1248" s="24"/>
    </row>
    <row r="1249" outlineLevel="1" spans="1:11">
      <c r="A1249" s="24"/>
      <c r="B1249" s="81"/>
      <c r="C1249" s="67"/>
      <c r="D1249" s="24"/>
      <c r="E1249" s="24"/>
      <c r="F1249" s="24"/>
      <c r="G1249" s="24"/>
      <c r="H1249" s="24"/>
      <c r="I1249" s="24"/>
      <c r="J1249" s="67"/>
      <c r="K1249" s="24"/>
    </row>
    <row r="1250" outlineLevel="1" spans="1:11">
      <c r="A1250" s="24"/>
      <c r="B1250" s="81"/>
      <c r="C1250" s="67"/>
      <c r="D1250" s="24"/>
      <c r="E1250" s="24"/>
      <c r="F1250" s="24"/>
      <c r="G1250" s="24"/>
      <c r="H1250" s="24"/>
      <c r="I1250" s="24"/>
      <c r="J1250" s="67"/>
      <c r="K1250" s="24"/>
    </row>
    <row r="1251" spans="1:11">
      <c r="A1251" s="24"/>
      <c r="B1251" s="81"/>
      <c r="C1251" s="67"/>
      <c r="D1251" s="24"/>
      <c r="E1251" s="24"/>
      <c r="F1251" s="24"/>
      <c r="G1251" s="24"/>
      <c r="H1251" s="24"/>
      <c r="I1251" s="24"/>
      <c r="J1251" s="67"/>
      <c r="K1251" s="24"/>
    </row>
    <row r="1252" spans="1:11">
      <c r="A1252" s="65" t="s">
        <v>1450</v>
      </c>
      <c r="B1252" s="65"/>
      <c r="C1252" s="65"/>
      <c r="D1252" s="65"/>
      <c r="E1252" s="65"/>
      <c r="F1252" s="65"/>
      <c r="G1252" s="65"/>
      <c r="H1252" s="65"/>
      <c r="I1252" s="65"/>
      <c r="J1252" s="65"/>
      <c r="K1252" s="65"/>
    </row>
    <row r="1253" spans="1:11">
      <c r="A1253" s="66" t="s">
        <v>1451</v>
      </c>
      <c r="B1253" s="66"/>
      <c r="C1253" s="66"/>
      <c r="D1253" s="66"/>
      <c r="E1253" s="66"/>
      <c r="F1253" s="66"/>
      <c r="G1253" s="66"/>
      <c r="H1253" s="66"/>
      <c r="I1253" s="66"/>
      <c r="J1253" s="66"/>
      <c r="K1253" s="66"/>
    </row>
    <row r="1254" outlineLevel="1" spans="1:11">
      <c r="A1254" s="24"/>
      <c r="B1254" s="60" t="str">
        <f>DEC2HEX(4096+ROW()-ROW($B$1254),4)</f>
        <v>1000</v>
      </c>
      <c r="C1254" s="63" t="s">
        <v>1452</v>
      </c>
      <c r="D1254" s="59" t="s">
        <v>59</v>
      </c>
      <c r="E1254" s="59"/>
      <c r="F1254" s="59"/>
      <c r="G1254" s="59"/>
      <c r="H1254" s="59"/>
      <c r="I1254" s="59" t="s">
        <v>38</v>
      </c>
      <c r="J1254" s="115" t="s">
        <v>1453</v>
      </c>
      <c r="K1254" s="59" t="s">
        <v>61</v>
      </c>
    </row>
    <row r="1255" outlineLevel="1" spans="1:11">
      <c r="A1255" s="24"/>
      <c r="B1255" s="60" t="str">
        <f t="shared" ref="B1255:B1319" si="40">DEC2HEX(4096+ROW()-ROW($B$1254),4)</f>
        <v>1001</v>
      </c>
      <c r="C1255" s="63"/>
      <c r="D1255" s="59"/>
      <c r="E1255" s="59"/>
      <c r="F1255" s="59"/>
      <c r="G1255" s="59"/>
      <c r="H1255" s="59"/>
      <c r="I1255" s="59"/>
      <c r="J1255" s="116"/>
      <c r="K1255" s="59" t="s">
        <v>61</v>
      </c>
    </row>
    <row r="1256" outlineLevel="1" spans="1:11">
      <c r="A1256" s="24"/>
      <c r="B1256" s="60" t="str">
        <f t="shared" si="40"/>
        <v>1002</v>
      </c>
      <c r="C1256" s="63"/>
      <c r="D1256" s="59"/>
      <c r="E1256" s="59"/>
      <c r="F1256" s="59"/>
      <c r="G1256" s="59"/>
      <c r="H1256" s="59"/>
      <c r="I1256" s="59"/>
      <c r="J1256" s="116"/>
      <c r="K1256" s="59" t="s">
        <v>61</v>
      </c>
    </row>
    <row r="1257" outlineLevel="1" spans="1:11">
      <c r="A1257" s="24"/>
      <c r="B1257" s="60" t="str">
        <f t="shared" si="40"/>
        <v>1003</v>
      </c>
      <c r="C1257" s="63"/>
      <c r="D1257" s="59"/>
      <c r="E1257" s="59"/>
      <c r="F1257" s="59"/>
      <c r="G1257" s="59"/>
      <c r="H1257" s="59"/>
      <c r="I1257" s="59"/>
      <c r="J1257" s="117"/>
      <c r="K1257" s="59" t="s">
        <v>61</v>
      </c>
    </row>
    <row r="1258" ht="28.5" outlineLevel="1" spans="1:11">
      <c r="A1258" s="24"/>
      <c r="B1258" s="60" t="str">
        <f t="shared" si="40"/>
        <v>1004</v>
      </c>
      <c r="C1258" s="63" t="s">
        <v>1454</v>
      </c>
      <c r="D1258" s="59" t="s">
        <v>89</v>
      </c>
      <c r="E1258" s="59"/>
      <c r="F1258" s="59" t="s">
        <v>1455</v>
      </c>
      <c r="G1258" s="59">
        <v>0</v>
      </c>
      <c r="H1258" s="59">
        <v>99</v>
      </c>
      <c r="I1258" s="59" t="s">
        <v>1070</v>
      </c>
      <c r="J1258" s="79" t="s">
        <v>1456</v>
      </c>
      <c r="K1258" s="59" t="s">
        <v>61</v>
      </c>
    </row>
    <row r="1259" outlineLevel="1" spans="1:11">
      <c r="A1259" s="24"/>
      <c r="B1259" s="60" t="str">
        <f t="shared" si="40"/>
        <v>1005</v>
      </c>
      <c r="C1259" s="63" t="s">
        <v>1457</v>
      </c>
      <c r="D1259" s="59" t="s">
        <v>89</v>
      </c>
      <c r="E1259" s="59"/>
      <c r="F1259" s="59" t="s">
        <v>1458</v>
      </c>
      <c r="G1259" s="59">
        <v>1</v>
      </c>
      <c r="H1259" s="59">
        <v>12</v>
      </c>
      <c r="I1259" s="59" t="s">
        <v>1070</v>
      </c>
      <c r="J1259" s="79" t="s">
        <v>1459</v>
      </c>
      <c r="K1259" s="59" t="s">
        <v>61</v>
      </c>
    </row>
    <row r="1260" outlineLevel="1" spans="1:11">
      <c r="A1260" s="24"/>
      <c r="B1260" s="60" t="str">
        <f t="shared" si="40"/>
        <v>1006</v>
      </c>
      <c r="C1260" s="63" t="s">
        <v>1460</v>
      </c>
      <c r="D1260" s="59" t="s">
        <v>89</v>
      </c>
      <c r="E1260" s="59"/>
      <c r="F1260" s="59" t="s">
        <v>1461</v>
      </c>
      <c r="G1260" s="59">
        <v>1</v>
      </c>
      <c r="H1260" s="59">
        <v>31</v>
      </c>
      <c r="I1260" s="59" t="s">
        <v>1070</v>
      </c>
      <c r="J1260" s="79" t="s">
        <v>1462</v>
      </c>
      <c r="K1260" s="59" t="s">
        <v>61</v>
      </c>
    </row>
    <row r="1261" outlineLevel="1" spans="1:11">
      <c r="A1261" s="24"/>
      <c r="B1261" s="60" t="str">
        <f t="shared" si="40"/>
        <v>1007</v>
      </c>
      <c r="C1261" s="63" t="s">
        <v>1463</v>
      </c>
      <c r="D1261" s="59" t="s">
        <v>89</v>
      </c>
      <c r="E1261" s="59"/>
      <c r="F1261" s="59" t="s">
        <v>1464</v>
      </c>
      <c r="G1261" s="59">
        <v>0</v>
      </c>
      <c r="H1261" s="59">
        <v>23</v>
      </c>
      <c r="I1261" s="59" t="s">
        <v>1070</v>
      </c>
      <c r="J1261" s="79" t="s">
        <v>1465</v>
      </c>
      <c r="K1261" s="59" t="s">
        <v>61</v>
      </c>
    </row>
    <row r="1262" outlineLevel="1" spans="1:11">
      <c r="A1262" s="24"/>
      <c r="B1262" s="60" t="str">
        <f t="shared" si="40"/>
        <v>1008</v>
      </c>
      <c r="C1262" s="63" t="s">
        <v>1466</v>
      </c>
      <c r="D1262" s="59" t="s">
        <v>89</v>
      </c>
      <c r="E1262" s="59"/>
      <c r="F1262" s="59" t="s">
        <v>161</v>
      </c>
      <c r="G1262" s="59">
        <v>0</v>
      </c>
      <c r="H1262" s="59">
        <v>59</v>
      </c>
      <c r="I1262" s="59" t="s">
        <v>1070</v>
      </c>
      <c r="J1262" s="79" t="s">
        <v>1467</v>
      </c>
      <c r="K1262" s="59" t="s">
        <v>61</v>
      </c>
    </row>
    <row r="1263" outlineLevel="1" spans="1:11">
      <c r="A1263" s="24"/>
      <c r="B1263" s="60" t="str">
        <f t="shared" si="40"/>
        <v>1009</v>
      </c>
      <c r="C1263" s="63" t="s">
        <v>1468</v>
      </c>
      <c r="D1263" s="59" t="s">
        <v>89</v>
      </c>
      <c r="E1263" s="59"/>
      <c r="F1263" s="59" t="s">
        <v>1069</v>
      </c>
      <c r="G1263" s="59">
        <v>0</v>
      </c>
      <c r="H1263" s="59">
        <v>59</v>
      </c>
      <c r="I1263" s="59" t="s">
        <v>1070</v>
      </c>
      <c r="J1263" s="79" t="s">
        <v>1469</v>
      </c>
      <c r="K1263" s="59" t="s">
        <v>61</v>
      </c>
    </row>
    <row r="1264" ht="156.75" outlineLevel="1" spans="1:11">
      <c r="A1264" s="24"/>
      <c r="B1264" s="60" t="str">
        <f t="shared" si="40"/>
        <v>100A</v>
      </c>
      <c r="C1264" s="63" t="s">
        <v>1470</v>
      </c>
      <c r="D1264" s="59" t="s">
        <v>89</v>
      </c>
      <c r="E1264" s="59"/>
      <c r="F1264" s="59"/>
      <c r="G1264" s="59">
        <v>1</v>
      </c>
      <c r="H1264" s="59">
        <v>1</v>
      </c>
      <c r="I1264" s="59" t="s">
        <v>1070</v>
      </c>
      <c r="J1264" s="79" t="s">
        <v>1471</v>
      </c>
      <c r="K1264" s="59" t="s">
        <v>61</v>
      </c>
    </row>
    <row r="1265" outlineLevel="1" spans="1:11">
      <c r="A1265" s="24"/>
      <c r="B1265" s="60" t="str">
        <f t="shared" si="40"/>
        <v>100B</v>
      </c>
      <c r="C1265" s="63" t="s">
        <v>1472</v>
      </c>
      <c r="D1265" s="59" t="s">
        <v>89</v>
      </c>
      <c r="E1265" s="59"/>
      <c r="F1265" s="59"/>
      <c r="G1265" s="59">
        <v>1</v>
      </c>
      <c r="H1265" s="59">
        <v>247</v>
      </c>
      <c r="I1265" s="59" t="s">
        <v>1070</v>
      </c>
      <c r="J1265" s="79" t="s">
        <v>1473</v>
      </c>
      <c r="K1265" s="59" t="s">
        <v>61</v>
      </c>
    </row>
    <row r="1266" ht="85.5" outlineLevel="1" spans="1:11">
      <c r="A1266" s="24"/>
      <c r="B1266" s="60" t="str">
        <f t="shared" si="40"/>
        <v>100C</v>
      </c>
      <c r="C1266" s="63" t="s">
        <v>1474</v>
      </c>
      <c r="D1266" s="59" t="s">
        <v>89</v>
      </c>
      <c r="E1266" s="59"/>
      <c r="F1266" s="59"/>
      <c r="G1266" s="59">
        <v>0</v>
      </c>
      <c r="H1266" s="59">
        <v>4</v>
      </c>
      <c r="I1266" s="59" t="s">
        <v>1070</v>
      </c>
      <c r="J1266" s="79" t="s">
        <v>1475</v>
      </c>
      <c r="K1266" s="59" t="s">
        <v>61</v>
      </c>
    </row>
    <row r="1267" ht="57" outlineLevel="1" spans="1:11">
      <c r="A1267" s="24"/>
      <c r="B1267" s="60" t="str">
        <f t="shared" si="40"/>
        <v>100D</v>
      </c>
      <c r="C1267" s="63" t="s">
        <v>1476</v>
      </c>
      <c r="D1267" s="59" t="s">
        <v>89</v>
      </c>
      <c r="E1267" s="59"/>
      <c r="F1267" s="59"/>
      <c r="G1267" s="59">
        <v>0</v>
      </c>
      <c r="H1267" s="59">
        <v>2</v>
      </c>
      <c r="I1267" s="59" t="s">
        <v>1070</v>
      </c>
      <c r="J1267" s="79" t="s">
        <v>1477</v>
      </c>
      <c r="K1267" s="59" t="s">
        <v>61</v>
      </c>
    </row>
    <row r="1268" ht="85.5" outlineLevel="1" spans="1:11">
      <c r="A1268" s="24"/>
      <c r="B1268" s="60" t="str">
        <f t="shared" si="40"/>
        <v>100E</v>
      </c>
      <c r="C1268" s="63" t="s">
        <v>1478</v>
      </c>
      <c r="D1268" s="59" t="s">
        <v>89</v>
      </c>
      <c r="E1268" s="59"/>
      <c r="F1268" s="59"/>
      <c r="G1268" s="59">
        <v>0</v>
      </c>
      <c r="H1268" s="59">
        <v>4</v>
      </c>
      <c r="I1268" s="59" t="s">
        <v>1070</v>
      </c>
      <c r="J1268" s="79" t="s">
        <v>1479</v>
      </c>
      <c r="K1268" s="59" t="s">
        <v>61</v>
      </c>
    </row>
    <row r="1269" ht="156.75" outlineLevel="1" spans="1:11">
      <c r="A1269" s="24"/>
      <c r="B1269" s="60" t="str">
        <f t="shared" si="40"/>
        <v>100F</v>
      </c>
      <c r="C1269" s="63" t="s">
        <v>1480</v>
      </c>
      <c r="D1269" s="59" t="s">
        <v>89</v>
      </c>
      <c r="E1269" s="59"/>
      <c r="F1269" s="59"/>
      <c r="G1269" s="59">
        <v>1</v>
      </c>
      <c r="H1269" s="59">
        <v>1</v>
      </c>
      <c r="I1269" s="59" t="s">
        <v>1070</v>
      </c>
      <c r="J1269" s="79" t="s">
        <v>1471</v>
      </c>
      <c r="K1269" s="59" t="s">
        <v>61</v>
      </c>
    </row>
    <row r="1270" ht="28.5" outlineLevel="1" spans="1:11">
      <c r="A1270" s="24"/>
      <c r="B1270" s="60" t="str">
        <f t="shared" si="40"/>
        <v>1010</v>
      </c>
      <c r="C1270" s="67" t="s">
        <v>1481</v>
      </c>
      <c r="D1270" s="24" t="s">
        <v>89</v>
      </c>
      <c r="E1270" s="24"/>
      <c r="F1270" s="24"/>
      <c r="G1270" s="24">
        <v>0</v>
      </c>
      <c r="H1270" s="24">
        <v>1</v>
      </c>
      <c r="I1270" s="24" t="s">
        <v>1070</v>
      </c>
      <c r="J1270" s="79" t="s">
        <v>1482</v>
      </c>
      <c r="K1270" s="59" t="s">
        <v>61</v>
      </c>
    </row>
    <row r="1271" ht="142.5" outlineLevel="1" spans="1:11">
      <c r="A1271" s="24"/>
      <c r="B1271" s="60" t="str">
        <f t="shared" si="40"/>
        <v>1011</v>
      </c>
      <c r="C1271" s="63" t="s">
        <v>1483</v>
      </c>
      <c r="D1271" s="24" t="s">
        <v>89</v>
      </c>
      <c r="E1271" s="24"/>
      <c r="F1271" s="24"/>
      <c r="G1271" s="24">
        <v>0</v>
      </c>
      <c r="H1271" s="24">
        <v>255</v>
      </c>
      <c r="I1271" s="24" t="s">
        <v>1070</v>
      </c>
      <c r="J1271" s="79" t="s">
        <v>1484</v>
      </c>
      <c r="K1271" s="59" t="s">
        <v>61</v>
      </c>
    </row>
    <row r="1272" outlineLevel="1" spans="1:11">
      <c r="A1272" s="24"/>
      <c r="B1272" s="60" t="str">
        <f t="shared" si="40"/>
        <v>1012</v>
      </c>
      <c r="C1272" s="63" t="s">
        <v>1485</v>
      </c>
      <c r="D1272" s="24" t="s">
        <v>89</v>
      </c>
      <c r="E1272" s="24"/>
      <c r="F1272" s="24"/>
      <c r="G1272" s="24">
        <v>0</v>
      </c>
      <c r="H1272" s="24">
        <v>255</v>
      </c>
      <c r="I1272" s="24" t="s">
        <v>1070</v>
      </c>
      <c r="J1272" s="67"/>
      <c r="K1272" s="59" t="s">
        <v>780</v>
      </c>
    </row>
    <row r="1273" outlineLevel="1" spans="1:11">
      <c r="A1273" s="24"/>
      <c r="B1273" s="60" t="str">
        <f t="shared" si="40"/>
        <v>1013</v>
      </c>
      <c r="C1273" s="63" t="s">
        <v>1486</v>
      </c>
      <c r="D1273" s="24" t="s">
        <v>89</v>
      </c>
      <c r="E1273" s="24"/>
      <c r="F1273" s="24"/>
      <c r="G1273" s="24">
        <v>0</v>
      </c>
      <c r="H1273" s="24">
        <v>255</v>
      </c>
      <c r="I1273" s="24" t="s">
        <v>1070</v>
      </c>
      <c r="J1273" s="67"/>
      <c r="K1273" s="59" t="s">
        <v>780</v>
      </c>
    </row>
    <row r="1274" outlineLevel="1" spans="1:11">
      <c r="A1274" s="24"/>
      <c r="B1274" s="60" t="str">
        <f t="shared" si="40"/>
        <v>1014</v>
      </c>
      <c r="C1274" s="63" t="s">
        <v>1487</v>
      </c>
      <c r="D1274" s="24" t="s">
        <v>89</v>
      </c>
      <c r="E1274" s="24"/>
      <c r="F1274" s="24"/>
      <c r="G1274" s="24">
        <v>0</v>
      </c>
      <c r="H1274" s="24">
        <v>255</v>
      </c>
      <c r="I1274" s="24" t="s">
        <v>1070</v>
      </c>
      <c r="J1274" s="67"/>
      <c r="K1274" s="59" t="s">
        <v>780</v>
      </c>
    </row>
    <row r="1275" outlineLevel="1" spans="1:11">
      <c r="A1275" s="24"/>
      <c r="B1275" s="60" t="str">
        <f t="shared" si="40"/>
        <v>1015</v>
      </c>
      <c r="C1275" s="63" t="s">
        <v>1488</v>
      </c>
      <c r="D1275" s="24" t="s">
        <v>89</v>
      </c>
      <c r="E1275" s="24"/>
      <c r="F1275" s="24"/>
      <c r="G1275" s="24">
        <v>0</v>
      </c>
      <c r="H1275" s="24">
        <v>255</v>
      </c>
      <c r="I1275" s="24" t="s">
        <v>1070</v>
      </c>
      <c r="J1275" s="67"/>
      <c r="K1275" s="59" t="s">
        <v>780</v>
      </c>
    </row>
    <row r="1276" outlineLevel="1" spans="1:11">
      <c r="A1276" s="24"/>
      <c r="B1276" s="60" t="str">
        <f t="shared" si="40"/>
        <v>1016</v>
      </c>
      <c r="C1276" s="63" t="s">
        <v>1489</v>
      </c>
      <c r="D1276" s="24" t="s">
        <v>89</v>
      </c>
      <c r="E1276" s="24"/>
      <c r="F1276" s="24"/>
      <c r="G1276" s="24">
        <v>0</v>
      </c>
      <c r="H1276" s="24">
        <v>255</v>
      </c>
      <c r="I1276" s="24" t="s">
        <v>1070</v>
      </c>
      <c r="J1276" s="67"/>
      <c r="K1276" s="59" t="s">
        <v>780</v>
      </c>
    </row>
    <row r="1277" outlineLevel="1" spans="1:11">
      <c r="A1277" s="24"/>
      <c r="B1277" s="60" t="str">
        <f t="shared" si="40"/>
        <v>1017</v>
      </c>
      <c r="C1277" s="63" t="s">
        <v>1490</v>
      </c>
      <c r="D1277" s="24" t="s">
        <v>89</v>
      </c>
      <c r="E1277" s="24"/>
      <c r="F1277" s="24"/>
      <c r="G1277" s="24">
        <v>0</v>
      </c>
      <c r="H1277" s="24">
        <v>255</v>
      </c>
      <c r="I1277" s="24" t="s">
        <v>1070</v>
      </c>
      <c r="J1277" s="67"/>
      <c r="K1277" s="59" t="s">
        <v>780</v>
      </c>
    </row>
    <row r="1278" outlineLevel="1" spans="1:11">
      <c r="A1278" s="24"/>
      <c r="B1278" s="60" t="str">
        <f t="shared" si="40"/>
        <v>1018</v>
      </c>
      <c r="C1278" s="63" t="s">
        <v>1491</v>
      </c>
      <c r="D1278" s="24" t="s">
        <v>89</v>
      </c>
      <c r="E1278" s="24"/>
      <c r="F1278" s="24"/>
      <c r="G1278" s="24">
        <v>0</v>
      </c>
      <c r="H1278" s="24">
        <v>255</v>
      </c>
      <c r="I1278" s="24" t="s">
        <v>1070</v>
      </c>
      <c r="J1278" s="67"/>
      <c r="K1278" s="59" t="s">
        <v>780</v>
      </c>
    </row>
    <row r="1279" outlineLevel="1" spans="1:11">
      <c r="A1279" s="24"/>
      <c r="B1279" s="60" t="str">
        <f t="shared" si="40"/>
        <v>1019</v>
      </c>
      <c r="C1279" s="63" t="s">
        <v>1492</v>
      </c>
      <c r="D1279" s="24" t="s">
        <v>89</v>
      </c>
      <c r="E1279" s="24"/>
      <c r="F1279" s="24"/>
      <c r="G1279" s="24">
        <v>0</v>
      </c>
      <c r="H1279" s="24">
        <v>255</v>
      </c>
      <c r="I1279" s="24" t="s">
        <v>1070</v>
      </c>
      <c r="J1279" s="67"/>
      <c r="K1279" s="59" t="s">
        <v>780</v>
      </c>
    </row>
    <row r="1280" outlineLevel="1" spans="1:11">
      <c r="A1280" s="24"/>
      <c r="B1280" s="60" t="str">
        <f t="shared" si="40"/>
        <v>101A</v>
      </c>
      <c r="C1280" s="63" t="s">
        <v>1493</v>
      </c>
      <c r="D1280" s="24" t="s">
        <v>89</v>
      </c>
      <c r="E1280" s="24"/>
      <c r="F1280" s="24"/>
      <c r="G1280" s="24">
        <v>0</v>
      </c>
      <c r="H1280" s="24">
        <v>255</v>
      </c>
      <c r="I1280" s="24" t="s">
        <v>1070</v>
      </c>
      <c r="J1280" s="67"/>
      <c r="K1280" s="59" t="s">
        <v>780</v>
      </c>
    </row>
    <row r="1281" outlineLevel="1" spans="1:11">
      <c r="A1281" s="24"/>
      <c r="B1281" s="60" t="str">
        <f t="shared" si="40"/>
        <v>101B</v>
      </c>
      <c r="C1281" s="63" t="s">
        <v>1494</v>
      </c>
      <c r="D1281" s="24" t="s">
        <v>89</v>
      </c>
      <c r="E1281" s="24"/>
      <c r="F1281" s="24"/>
      <c r="G1281" s="24">
        <v>0</v>
      </c>
      <c r="H1281" s="24">
        <v>255</v>
      </c>
      <c r="I1281" s="24" t="s">
        <v>1070</v>
      </c>
      <c r="J1281" s="67"/>
      <c r="K1281" s="59" t="s">
        <v>780</v>
      </c>
    </row>
    <row r="1282" outlineLevel="1" spans="1:11">
      <c r="A1282" s="24"/>
      <c r="B1282" s="60" t="str">
        <f t="shared" si="40"/>
        <v>101C</v>
      </c>
      <c r="C1282" s="63" t="s">
        <v>1495</v>
      </c>
      <c r="D1282" s="24" t="s">
        <v>89</v>
      </c>
      <c r="E1282" s="24"/>
      <c r="F1282" s="24"/>
      <c r="G1282" s="24">
        <v>0</v>
      </c>
      <c r="H1282" s="24">
        <v>255</v>
      </c>
      <c r="I1282" s="24" t="s">
        <v>1070</v>
      </c>
      <c r="J1282" s="67"/>
      <c r="K1282" s="59" t="s">
        <v>780</v>
      </c>
    </row>
    <row r="1283" outlineLevel="1" spans="1:11">
      <c r="A1283" s="24"/>
      <c r="B1283" s="60" t="str">
        <f t="shared" si="40"/>
        <v>101D</v>
      </c>
      <c r="C1283" s="63" t="s">
        <v>1496</v>
      </c>
      <c r="D1283" s="24" t="s">
        <v>89</v>
      </c>
      <c r="E1283" s="24"/>
      <c r="F1283" s="24"/>
      <c r="G1283" s="24">
        <v>0</v>
      </c>
      <c r="H1283" s="24">
        <v>255</v>
      </c>
      <c r="I1283" s="24" t="s">
        <v>1070</v>
      </c>
      <c r="J1283" s="67"/>
      <c r="K1283" s="59" t="s">
        <v>780</v>
      </c>
    </row>
    <row r="1284" outlineLevel="1" spans="1:11">
      <c r="A1284" s="24"/>
      <c r="B1284" s="60" t="str">
        <f t="shared" si="40"/>
        <v>101E</v>
      </c>
      <c r="C1284" s="63" t="s">
        <v>1497</v>
      </c>
      <c r="D1284" s="24" t="s">
        <v>89</v>
      </c>
      <c r="E1284" s="24"/>
      <c r="F1284" s="24"/>
      <c r="G1284" s="24">
        <v>0</v>
      </c>
      <c r="H1284" s="24">
        <v>255</v>
      </c>
      <c r="I1284" s="24" t="s">
        <v>1070</v>
      </c>
      <c r="J1284" s="67"/>
      <c r="K1284" s="59" t="s">
        <v>780</v>
      </c>
    </row>
    <row r="1285" outlineLevel="1" spans="1:11">
      <c r="A1285" s="24"/>
      <c r="B1285" s="60" t="str">
        <f t="shared" si="40"/>
        <v>101F</v>
      </c>
      <c r="C1285" s="63" t="s">
        <v>1498</v>
      </c>
      <c r="D1285" s="24" t="s">
        <v>89</v>
      </c>
      <c r="E1285" s="24"/>
      <c r="F1285" s="24"/>
      <c r="G1285" s="24">
        <v>0</v>
      </c>
      <c r="H1285" s="24">
        <v>255</v>
      </c>
      <c r="I1285" s="24" t="s">
        <v>1070</v>
      </c>
      <c r="J1285" s="67"/>
      <c r="K1285" s="59" t="s">
        <v>780</v>
      </c>
    </row>
    <row r="1286" outlineLevel="1" spans="1:11">
      <c r="A1286" s="24"/>
      <c r="B1286" s="60" t="str">
        <f t="shared" si="40"/>
        <v>1020</v>
      </c>
      <c r="C1286" s="63" t="s">
        <v>1499</v>
      </c>
      <c r="D1286" s="24" t="s">
        <v>89</v>
      </c>
      <c r="E1286" s="24"/>
      <c r="F1286" s="24"/>
      <c r="G1286" s="24">
        <v>0</v>
      </c>
      <c r="H1286" s="24">
        <v>255</v>
      </c>
      <c r="I1286" s="24" t="s">
        <v>1070</v>
      </c>
      <c r="J1286" s="67"/>
      <c r="K1286" s="59" t="s">
        <v>780</v>
      </c>
    </row>
    <row r="1287" ht="156.75" outlineLevel="1" spans="1:11">
      <c r="A1287" s="24"/>
      <c r="B1287" s="60" t="str">
        <f t="shared" si="40"/>
        <v>1021</v>
      </c>
      <c r="C1287" s="67" t="s">
        <v>1500</v>
      </c>
      <c r="D1287" s="24" t="s">
        <v>89</v>
      </c>
      <c r="E1287" s="24"/>
      <c r="F1287" s="24"/>
      <c r="G1287" s="24">
        <v>1</v>
      </c>
      <c r="H1287" s="24">
        <v>1</v>
      </c>
      <c r="I1287" s="24" t="s">
        <v>1070</v>
      </c>
      <c r="J1287" s="79" t="s">
        <v>1471</v>
      </c>
      <c r="K1287" s="59" t="s">
        <v>780</v>
      </c>
    </row>
    <row r="1288" ht="156.75" outlineLevel="1" spans="1:11">
      <c r="A1288" s="24"/>
      <c r="B1288" s="60" t="str">
        <f t="shared" si="40"/>
        <v>1022</v>
      </c>
      <c r="C1288" s="69" t="s">
        <v>1501</v>
      </c>
      <c r="D1288" s="24" t="s">
        <v>89</v>
      </c>
      <c r="E1288" s="24"/>
      <c r="F1288" s="24"/>
      <c r="G1288" s="24">
        <v>1</v>
      </c>
      <c r="H1288" s="24">
        <v>1</v>
      </c>
      <c r="I1288" s="24" t="s">
        <v>1070</v>
      </c>
      <c r="J1288" s="79" t="s">
        <v>1471</v>
      </c>
      <c r="K1288" s="59" t="s">
        <v>780</v>
      </c>
    </row>
    <row r="1289" ht="71.25" outlineLevel="1" spans="1:11">
      <c r="A1289" s="24"/>
      <c r="B1289" s="60" t="str">
        <f t="shared" si="40"/>
        <v>1023</v>
      </c>
      <c r="C1289" s="67" t="s">
        <v>1502</v>
      </c>
      <c r="D1289" s="24" t="s">
        <v>89</v>
      </c>
      <c r="E1289" s="24"/>
      <c r="F1289" s="24"/>
      <c r="G1289" s="24">
        <v>0</v>
      </c>
      <c r="H1289" s="24">
        <v>2</v>
      </c>
      <c r="I1289" s="24" t="s">
        <v>1070</v>
      </c>
      <c r="J1289" s="79" t="s">
        <v>1503</v>
      </c>
      <c r="K1289" s="59" t="s">
        <v>780</v>
      </c>
    </row>
    <row r="1290" outlineLevel="1" spans="1:11">
      <c r="A1290" s="24"/>
      <c r="B1290" s="60" t="str">
        <f t="shared" si="40"/>
        <v>1024</v>
      </c>
      <c r="C1290" s="67" t="s">
        <v>1504</v>
      </c>
      <c r="D1290" s="24" t="s">
        <v>89</v>
      </c>
      <c r="E1290" s="76">
        <v>100</v>
      </c>
      <c r="F1290" s="76" t="s">
        <v>41</v>
      </c>
      <c r="G1290" s="76">
        <v>0</v>
      </c>
      <c r="H1290" s="76">
        <v>65535</v>
      </c>
      <c r="I1290" s="76" t="s">
        <v>1070</v>
      </c>
      <c r="J1290" s="109" t="s">
        <v>1505</v>
      </c>
      <c r="K1290" s="59" t="s">
        <v>780</v>
      </c>
    </row>
    <row r="1291" outlineLevel="1" spans="1:11">
      <c r="A1291" s="24"/>
      <c r="B1291" s="60" t="str">
        <f t="shared" si="40"/>
        <v>1025</v>
      </c>
      <c r="C1291" s="67" t="s">
        <v>1506</v>
      </c>
      <c r="D1291" s="24" t="s">
        <v>89</v>
      </c>
      <c r="E1291" s="24"/>
      <c r="F1291" s="24"/>
      <c r="G1291" s="24">
        <v>0</v>
      </c>
      <c r="H1291" s="24">
        <v>1</v>
      </c>
      <c r="I1291" s="24" t="s">
        <v>1070</v>
      </c>
      <c r="J1291" s="101" t="s">
        <v>1507</v>
      </c>
      <c r="K1291" s="59" t="s">
        <v>780</v>
      </c>
    </row>
    <row r="1292" outlineLevel="1" spans="1:11">
      <c r="A1292" s="24"/>
      <c r="B1292" s="60" t="str">
        <f t="shared" si="40"/>
        <v>1026</v>
      </c>
      <c r="C1292" s="67" t="s">
        <v>1508</v>
      </c>
      <c r="D1292" s="24" t="s">
        <v>89</v>
      </c>
      <c r="E1292" s="24">
        <v>1</v>
      </c>
      <c r="F1292" s="24" t="s">
        <v>161</v>
      </c>
      <c r="G1292" s="24">
        <v>5</v>
      </c>
      <c r="H1292" s="24">
        <v>65535</v>
      </c>
      <c r="I1292" s="24" t="s">
        <v>1070</v>
      </c>
      <c r="J1292" s="101" t="s">
        <v>1509</v>
      </c>
      <c r="K1292" s="59" t="s">
        <v>780</v>
      </c>
    </row>
    <row r="1293" ht="156.75" outlineLevel="1" spans="1:11">
      <c r="A1293" s="24"/>
      <c r="B1293" s="60" t="str">
        <f t="shared" si="40"/>
        <v>1027</v>
      </c>
      <c r="C1293" s="67" t="s">
        <v>1510</v>
      </c>
      <c r="D1293" s="24" t="s">
        <v>89</v>
      </c>
      <c r="E1293" s="24"/>
      <c r="F1293" s="24"/>
      <c r="G1293" s="24">
        <v>1</v>
      </c>
      <c r="H1293" s="24">
        <v>1</v>
      </c>
      <c r="I1293" s="24" t="s">
        <v>1070</v>
      </c>
      <c r="J1293" s="101" t="s">
        <v>1511</v>
      </c>
      <c r="K1293" s="59" t="s">
        <v>780</v>
      </c>
    </row>
    <row r="1294" ht="57" outlineLevel="1" spans="1:11">
      <c r="A1294" s="24"/>
      <c r="B1294" s="60" t="str">
        <f t="shared" si="40"/>
        <v>1028</v>
      </c>
      <c r="C1294" s="67" t="s">
        <v>1512</v>
      </c>
      <c r="D1294" s="24" t="s">
        <v>89</v>
      </c>
      <c r="E1294" s="24"/>
      <c r="F1294" s="24"/>
      <c r="G1294" s="24">
        <v>0</v>
      </c>
      <c r="H1294" s="24">
        <v>31</v>
      </c>
      <c r="I1294" s="24" t="s">
        <v>1070</v>
      </c>
      <c r="J1294" s="101" t="s">
        <v>1513</v>
      </c>
      <c r="K1294" s="59" t="s">
        <v>780</v>
      </c>
    </row>
    <row r="1295" ht="71.25" outlineLevel="1" spans="1:11">
      <c r="A1295" s="24"/>
      <c r="B1295" s="60" t="str">
        <f t="shared" si="40"/>
        <v>1029</v>
      </c>
      <c r="C1295" s="63" t="s">
        <v>1514</v>
      </c>
      <c r="D1295" s="59" t="s">
        <v>89</v>
      </c>
      <c r="E1295" s="59"/>
      <c r="F1295" s="59"/>
      <c r="G1295" s="59">
        <v>0</v>
      </c>
      <c r="H1295" s="59">
        <v>2</v>
      </c>
      <c r="I1295" s="59" t="s">
        <v>1070</v>
      </c>
      <c r="J1295" s="102" t="s">
        <v>1515</v>
      </c>
      <c r="K1295" s="59" t="s">
        <v>61</v>
      </c>
    </row>
    <row r="1296" ht="28.5" outlineLevel="1" spans="1:11">
      <c r="A1296" s="24"/>
      <c r="B1296" s="60" t="str">
        <f t="shared" si="40"/>
        <v>102A</v>
      </c>
      <c r="C1296" s="63" t="s">
        <v>1516</v>
      </c>
      <c r="D1296" s="59" t="s">
        <v>89</v>
      </c>
      <c r="E1296" s="59">
        <v>1</v>
      </c>
      <c r="F1296" s="59" t="s">
        <v>1069</v>
      </c>
      <c r="G1296" s="59">
        <v>0</v>
      </c>
      <c r="H1296" s="59">
        <v>65535</v>
      </c>
      <c r="I1296" s="59" t="s">
        <v>1070</v>
      </c>
      <c r="J1296" s="102" t="s">
        <v>1517</v>
      </c>
      <c r="K1296" s="59" t="s">
        <v>61</v>
      </c>
    </row>
    <row r="1297" outlineLevel="1" spans="1:11">
      <c r="A1297" s="24"/>
      <c r="B1297" s="60" t="str">
        <f t="shared" si="40"/>
        <v>102B</v>
      </c>
      <c r="C1297" s="63" t="s">
        <v>1518</v>
      </c>
      <c r="D1297" s="59" t="s">
        <v>89</v>
      </c>
      <c r="E1297" s="59"/>
      <c r="F1297" s="59"/>
      <c r="G1297" s="59">
        <v>0</v>
      </c>
      <c r="H1297" s="59">
        <v>1</v>
      </c>
      <c r="I1297" s="59" t="s">
        <v>1070</v>
      </c>
      <c r="J1297" s="102" t="s">
        <v>1519</v>
      </c>
      <c r="K1297" s="59" t="s">
        <v>61</v>
      </c>
    </row>
    <row r="1298" ht="156.75" outlineLevel="1" spans="1:11">
      <c r="A1298" s="24"/>
      <c r="B1298" s="60" t="str">
        <f t="shared" si="40"/>
        <v>102C</v>
      </c>
      <c r="C1298" s="63" t="s">
        <v>1520</v>
      </c>
      <c r="D1298" s="59" t="s">
        <v>89</v>
      </c>
      <c r="E1298" s="59"/>
      <c r="F1298" s="59"/>
      <c r="G1298" s="59">
        <v>1</v>
      </c>
      <c r="H1298" s="59">
        <v>1</v>
      </c>
      <c r="I1298" s="59" t="s">
        <v>1070</v>
      </c>
      <c r="J1298" s="102" t="s">
        <v>1521</v>
      </c>
      <c r="K1298" s="59" t="s">
        <v>61</v>
      </c>
    </row>
    <row r="1299" ht="156.75" outlineLevel="1" spans="1:11">
      <c r="A1299" s="24"/>
      <c r="B1299" s="60" t="str">
        <f t="shared" si="40"/>
        <v>102D</v>
      </c>
      <c r="C1299" s="67" t="s">
        <v>1522</v>
      </c>
      <c r="D1299" s="24" t="s">
        <v>89</v>
      </c>
      <c r="E1299" s="24"/>
      <c r="F1299" s="24"/>
      <c r="G1299" s="24">
        <v>1</v>
      </c>
      <c r="H1299" s="24">
        <v>1</v>
      </c>
      <c r="I1299" s="24" t="s">
        <v>1070</v>
      </c>
      <c r="J1299" s="101" t="s">
        <v>1523</v>
      </c>
      <c r="K1299" s="59" t="s">
        <v>780</v>
      </c>
    </row>
    <row r="1300" ht="270.75" outlineLevel="1" spans="1:11">
      <c r="A1300" s="24"/>
      <c r="B1300" s="60" t="str">
        <f t="shared" si="40"/>
        <v>102E</v>
      </c>
      <c r="C1300" s="67" t="s">
        <v>1524</v>
      </c>
      <c r="D1300" s="24" t="s">
        <v>89</v>
      </c>
      <c r="E1300" s="24"/>
      <c r="F1300" s="24"/>
      <c r="G1300" s="24">
        <v>1</v>
      </c>
      <c r="H1300" s="24">
        <v>2</v>
      </c>
      <c r="I1300" s="24" t="s">
        <v>1070</v>
      </c>
      <c r="J1300" s="109" t="s">
        <v>1525</v>
      </c>
      <c r="K1300" s="59" t="s">
        <v>780</v>
      </c>
    </row>
    <row r="1301" outlineLevel="1" spans="1:11">
      <c r="A1301" s="24"/>
      <c r="B1301" s="60" t="str">
        <f t="shared" si="40"/>
        <v>102F</v>
      </c>
      <c r="C1301" s="67"/>
      <c r="D1301" s="24" t="s">
        <v>89</v>
      </c>
      <c r="E1301" s="24"/>
      <c r="F1301" s="24"/>
      <c r="G1301" s="24"/>
      <c r="H1301" s="24"/>
      <c r="I1301" s="24" t="s">
        <v>1070</v>
      </c>
      <c r="J1301" s="118"/>
      <c r="K1301" s="24" t="s">
        <v>780</v>
      </c>
    </row>
    <row r="1302" ht="114" outlineLevel="1" spans="1:11">
      <c r="A1302" s="24"/>
      <c r="B1302" s="60" t="str">
        <f t="shared" si="40"/>
        <v>1030</v>
      </c>
      <c r="C1302" s="67" t="s">
        <v>1526</v>
      </c>
      <c r="D1302" s="24" t="s">
        <v>89</v>
      </c>
      <c r="E1302" s="24">
        <v>1</v>
      </c>
      <c r="F1302" s="24" t="s">
        <v>1455</v>
      </c>
      <c r="G1302" s="24">
        <v>0</v>
      </c>
      <c r="H1302" s="24">
        <v>19</v>
      </c>
      <c r="I1302" s="24" t="s">
        <v>1070</v>
      </c>
      <c r="J1302" s="109" t="s">
        <v>1527</v>
      </c>
      <c r="K1302" s="24" t="s">
        <v>780</v>
      </c>
    </row>
    <row r="1303" ht="42.75" outlineLevel="1" spans="1:11">
      <c r="A1303" s="24"/>
      <c r="B1303" s="60" t="str">
        <f t="shared" si="40"/>
        <v>1031</v>
      </c>
      <c r="C1303" s="67" t="s">
        <v>1528</v>
      </c>
      <c r="D1303" s="24" t="s">
        <v>89</v>
      </c>
      <c r="E1303" s="24">
        <v>1</v>
      </c>
      <c r="F1303" s="24" t="s">
        <v>1458</v>
      </c>
      <c r="G1303" s="24">
        <v>1</v>
      </c>
      <c r="H1303" s="24">
        <v>12</v>
      </c>
      <c r="I1303" s="24" t="s">
        <v>1070</v>
      </c>
      <c r="J1303" s="109" t="s">
        <v>1529</v>
      </c>
      <c r="K1303" s="24" t="s">
        <v>780</v>
      </c>
    </row>
    <row r="1304" ht="42.75" outlineLevel="1" spans="1:11">
      <c r="A1304" s="24"/>
      <c r="B1304" s="60" t="str">
        <f t="shared" si="40"/>
        <v>1032</v>
      </c>
      <c r="C1304" s="67" t="s">
        <v>1530</v>
      </c>
      <c r="D1304" s="24" t="s">
        <v>89</v>
      </c>
      <c r="E1304" s="24">
        <v>1</v>
      </c>
      <c r="F1304" s="24" t="s">
        <v>1461</v>
      </c>
      <c r="G1304" s="24">
        <v>1</v>
      </c>
      <c r="H1304" s="24">
        <v>31</v>
      </c>
      <c r="I1304" s="24" t="s">
        <v>1070</v>
      </c>
      <c r="J1304" s="109" t="s">
        <v>1531</v>
      </c>
      <c r="K1304" s="24" t="s">
        <v>780</v>
      </c>
    </row>
    <row r="1305" ht="270.75" outlineLevel="1" spans="1:11">
      <c r="A1305" s="24"/>
      <c r="B1305" s="60" t="str">
        <f t="shared" si="40"/>
        <v>1033</v>
      </c>
      <c r="C1305" s="67" t="s">
        <v>1532</v>
      </c>
      <c r="D1305" s="24" t="s">
        <v>89</v>
      </c>
      <c r="E1305" s="24"/>
      <c r="F1305" s="24"/>
      <c r="G1305" s="24"/>
      <c r="H1305" s="24"/>
      <c r="I1305" s="24" t="s">
        <v>1070</v>
      </c>
      <c r="J1305" s="109" t="s">
        <v>1533</v>
      </c>
      <c r="K1305" s="24" t="s">
        <v>780</v>
      </c>
    </row>
    <row r="1306" outlineLevel="1" spans="1:11">
      <c r="A1306" s="24"/>
      <c r="B1306" s="60" t="str">
        <f t="shared" si="40"/>
        <v>1034</v>
      </c>
      <c r="C1306" s="63" t="s">
        <v>1534</v>
      </c>
      <c r="D1306" s="59" t="s">
        <v>89</v>
      </c>
      <c r="E1306" s="59"/>
      <c r="F1306" s="59"/>
      <c r="G1306" s="59">
        <v>0</v>
      </c>
      <c r="H1306" s="59">
        <v>65535</v>
      </c>
      <c r="I1306" s="59" t="s">
        <v>1070</v>
      </c>
      <c r="J1306" s="103" t="s">
        <v>1535</v>
      </c>
      <c r="K1306" s="59" t="s">
        <v>61</v>
      </c>
    </row>
    <row r="1307" ht="28.5" outlineLevel="1" spans="1:11">
      <c r="A1307" s="24"/>
      <c r="B1307" s="60" t="str">
        <f t="shared" si="40"/>
        <v>1035</v>
      </c>
      <c r="C1307" s="67" t="s">
        <v>1536</v>
      </c>
      <c r="D1307" s="24" t="s">
        <v>89</v>
      </c>
      <c r="E1307" s="24"/>
      <c r="F1307" s="24"/>
      <c r="G1307" s="24">
        <v>0</v>
      </c>
      <c r="H1307" s="24">
        <v>2</v>
      </c>
      <c r="I1307" s="24" t="s">
        <v>1070</v>
      </c>
      <c r="J1307" s="109" t="s">
        <v>1537</v>
      </c>
      <c r="K1307" s="24" t="s">
        <v>780</v>
      </c>
    </row>
    <row r="1308" outlineLevel="1" spans="1:11">
      <c r="A1308" s="24"/>
      <c r="B1308" s="60" t="str">
        <f t="shared" si="40"/>
        <v>1036</v>
      </c>
      <c r="C1308" s="67" t="s">
        <v>1538</v>
      </c>
      <c r="D1308" s="24" t="s">
        <v>89</v>
      </c>
      <c r="E1308" s="24"/>
      <c r="F1308" s="24"/>
      <c r="G1308" s="24">
        <v>0</v>
      </c>
      <c r="H1308" s="24">
        <v>1</v>
      </c>
      <c r="I1308" s="24" t="s">
        <v>1070</v>
      </c>
      <c r="J1308" s="109" t="s">
        <v>1539</v>
      </c>
      <c r="K1308" s="24" t="s">
        <v>780</v>
      </c>
    </row>
    <row r="1309" outlineLevel="1" spans="1:11">
      <c r="A1309" s="24"/>
      <c r="B1309" s="60" t="str">
        <f t="shared" si="40"/>
        <v>1037</v>
      </c>
      <c r="C1309" s="67" t="s">
        <v>1540</v>
      </c>
      <c r="D1309" s="24" t="s">
        <v>89</v>
      </c>
      <c r="E1309" s="24"/>
      <c r="F1309" s="24"/>
      <c r="G1309" s="24">
        <v>0</v>
      </c>
      <c r="H1309" s="24">
        <v>10</v>
      </c>
      <c r="I1309" s="24" t="s">
        <v>1070</v>
      </c>
      <c r="J1309" s="109" t="s">
        <v>1541</v>
      </c>
      <c r="K1309" s="24" t="s">
        <v>780</v>
      </c>
    </row>
    <row r="1310" ht="71.25" outlineLevel="1" spans="1:11">
      <c r="A1310" s="24"/>
      <c r="B1310" s="60" t="str">
        <f t="shared" si="40"/>
        <v>1038</v>
      </c>
      <c r="C1310" s="67" t="s">
        <v>1542</v>
      </c>
      <c r="D1310" s="24" t="s">
        <v>89</v>
      </c>
      <c r="E1310" s="24"/>
      <c r="F1310" s="24"/>
      <c r="G1310" s="24">
        <v>0</v>
      </c>
      <c r="H1310" s="24">
        <v>1</v>
      </c>
      <c r="I1310" s="24" t="s">
        <v>1070</v>
      </c>
      <c r="J1310" s="109" t="s">
        <v>1543</v>
      </c>
      <c r="K1310" s="24" t="s">
        <v>780</v>
      </c>
    </row>
    <row r="1311" outlineLevel="1" spans="1:11">
      <c r="A1311" s="24"/>
      <c r="B1311" s="60" t="str">
        <f t="shared" si="40"/>
        <v>1039</v>
      </c>
      <c r="C1311" s="67" t="s">
        <v>1544</v>
      </c>
      <c r="D1311" s="24" t="s">
        <v>89</v>
      </c>
      <c r="E1311" s="24">
        <v>0.001</v>
      </c>
      <c r="F1311" s="24" t="s">
        <v>310</v>
      </c>
      <c r="G1311" s="24">
        <v>800</v>
      </c>
      <c r="H1311" s="24">
        <v>3600</v>
      </c>
      <c r="I1311" s="24" t="s">
        <v>1070</v>
      </c>
      <c r="J1311" s="109" t="s">
        <v>1545</v>
      </c>
      <c r="K1311" s="24" t="s">
        <v>780</v>
      </c>
    </row>
    <row r="1312" outlineLevel="1" spans="1:11">
      <c r="A1312" s="24"/>
      <c r="B1312" s="60" t="str">
        <f t="shared" si="40"/>
        <v>103A</v>
      </c>
      <c r="C1312" s="67" t="s">
        <v>1546</v>
      </c>
      <c r="D1312" s="24" t="s">
        <v>89</v>
      </c>
      <c r="E1312" s="24">
        <v>0.001</v>
      </c>
      <c r="F1312" s="24" t="s">
        <v>310</v>
      </c>
      <c r="G1312" s="24">
        <v>800</v>
      </c>
      <c r="H1312" s="24">
        <v>1500</v>
      </c>
      <c r="I1312" s="24" t="s">
        <v>1070</v>
      </c>
      <c r="J1312" s="109" t="s">
        <v>1547</v>
      </c>
      <c r="K1312" s="24" t="s">
        <v>780</v>
      </c>
    </row>
    <row r="1313" outlineLevel="1" spans="1:11">
      <c r="A1313" s="24"/>
      <c r="B1313" s="60" t="str">
        <f t="shared" si="40"/>
        <v>103B</v>
      </c>
      <c r="C1313" s="67" t="s">
        <v>1548</v>
      </c>
      <c r="D1313" s="24" t="s">
        <v>89</v>
      </c>
      <c r="E1313" s="24">
        <v>0.001</v>
      </c>
      <c r="F1313" s="24" t="s">
        <v>310</v>
      </c>
      <c r="G1313" s="24">
        <v>800</v>
      </c>
      <c r="H1313" s="24">
        <v>1500</v>
      </c>
      <c r="I1313" s="24" t="s">
        <v>1070</v>
      </c>
      <c r="J1313" s="109" t="s">
        <v>1549</v>
      </c>
      <c r="K1313" s="24" t="s">
        <v>780</v>
      </c>
    </row>
    <row r="1314" ht="28.5" outlineLevel="1" spans="1:11">
      <c r="A1314" s="24"/>
      <c r="B1314" s="60" t="str">
        <f t="shared" si="40"/>
        <v>103C</v>
      </c>
      <c r="C1314" s="67" t="s">
        <v>1550</v>
      </c>
      <c r="D1314" s="24" t="s">
        <v>89</v>
      </c>
      <c r="E1314" s="24">
        <v>0.001</v>
      </c>
      <c r="F1314" s="24" t="s">
        <v>310</v>
      </c>
      <c r="G1314" s="24">
        <v>800</v>
      </c>
      <c r="H1314" s="24">
        <v>1500</v>
      </c>
      <c r="I1314" s="24" t="s">
        <v>1070</v>
      </c>
      <c r="J1314" s="109" t="s">
        <v>1551</v>
      </c>
      <c r="K1314" s="24" t="s">
        <v>780</v>
      </c>
    </row>
    <row r="1315" outlineLevel="1" spans="1:11">
      <c r="A1315" s="24"/>
      <c r="B1315" s="60" t="str">
        <f t="shared" si="40"/>
        <v>103D</v>
      </c>
      <c r="C1315" s="67" t="s">
        <v>1552</v>
      </c>
      <c r="D1315" s="24" t="s">
        <v>89</v>
      </c>
      <c r="E1315" s="24">
        <v>0.001</v>
      </c>
      <c r="F1315" s="24" t="s">
        <v>310</v>
      </c>
      <c r="G1315" s="24">
        <v>800</v>
      </c>
      <c r="H1315" s="24">
        <v>1500</v>
      </c>
      <c r="I1315" s="24" t="s">
        <v>1070</v>
      </c>
      <c r="J1315" s="109" t="s">
        <v>1553</v>
      </c>
      <c r="K1315" s="24" t="s">
        <v>780</v>
      </c>
    </row>
    <row r="1316" outlineLevel="1" spans="1:11">
      <c r="A1316" s="24"/>
      <c r="B1316" s="60" t="str">
        <f t="shared" si="40"/>
        <v>103E</v>
      </c>
      <c r="C1316" s="67"/>
      <c r="D1316" s="24"/>
      <c r="E1316" s="24"/>
      <c r="F1316" s="24"/>
      <c r="G1316" s="24"/>
      <c r="H1316" s="24"/>
      <c r="I1316" s="24"/>
      <c r="J1316" s="75"/>
      <c r="K1316" s="24"/>
    </row>
    <row r="1317" outlineLevel="1" spans="1:11">
      <c r="A1317" s="24"/>
      <c r="B1317" s="60" t="str">
        <f t="shared" si="40"/>
        <v>103F</v>
      </c>
      <c r="C1317" s="67"/>
      <c r="D1317" s="24"/>
      <c r="E1317" s="24"/>
      <c r="F1317" s="24"/>
      <c r="G1317" s="24"/>
      <c r="H1317" s="24"/>
      <c r="I1317" s="24"/>
      <c r="J1317" s="75"/>
      <c r="K1317" s="24"/>
    </row>
    <row r="1318" outlineLevel="1" spans="1:11">
      <c r="A1318" s="24"/>
      <c r="B1318" s="60" t="str">
        <f t="shared" si="40"/>
        <v>1040</v>
      </c>
      <c r="C1318" s="63" t="s">
        <v>1554</v>
      </c>
      <c r="D1318" s="59" t="s">
        <v>59</v>
      </c>
      <c r="E1318" s="59"/>
      <c r="F1318" s="59"/>
      <c r="G1318" s="59"/>
      <c r="H1318" s="59"/>
      <c r="I1318" s="59" t="s">
        <v>38</v>
      </c>
      <c r="J1318" s="115" t="s">
        <v>1453</v>
      </c>
      <c r="K1318" s="24" t="s">
        <v>61</v>
      </c>
    </row>
    <row r="1319" outlineLevel="1" spans="1:11">
      <c r="A1319" s="24"/>
      <c r="B1319" s="60" t="str">
        <f t="shared" si="40"/>
        <v>1041</v>
      </c>
      <c r="C1319" s="63"/>
      <c r="D1319" s="59"/>
      <c r="E1319" s="59"/>
      <c r="F1319" s="59"/>
      <c r="G1319" s="59"/>
      <c r="H1319" s="59"/>
      <c r="I1319" s="59"/>
      <c r="J1319" s="116"/>
      <c r="K1319" s="24" t="s">
        <v>61</v>
      </c>
    </row>
    <row r="1320" outlineLevel="1" spans="1:11">
      <c r="A1320" s="24"/>
      <c r="B1320" s="60" t="str">
        <f t="shared" ref="B1320:B1383" si="41">DEC2HEX(4096+ROW()-ROW($B$1254),4)</f>
        <v>1042</v>
      </c>
      <c r="C1320" s="63"/>
      <c r="D1320" s="59"/>
      <c r="E1320" s="59"/>
      <c r="F1320" s="59"/>
      <c r="G1320" s="59"/>
      <c r="H1320" s="59"/>
      <c r="I1320" s="59"/>
      <c r="J1320" s="116"/>
      <c r="K1320" s="24" t="s">
        <v>61</v>
      </c>
    </row>
    <row r="1321" outlineLevel="1" spans="1:11">
      <c r="A1321" s="24"/>
      <c r="B1321" s="60" t="str">
        <f t="shared" si="41"/>
        <v>1043</v>
      </c>
      <c r="C1321" s="63"/>
      <c r="D1321" s="59"/>
      <c r="E1321" s="59"/>
      <c r="F1321" s="59"/>
      <c r="G1321" s="59"/>
      <c r="H1321" s="59"/>
      <c r="I1321" s="59"/>
      <c r="J1321" s="117"/>
      <c r="K1321" s="24" t="s">
        <v>61</v>
      </c>
    </row>
    <row r="1322" ht="85.5" outlineLevel="1" spans="1:11">
      <c r="A1322" s="24"/>
      <c r="B1322" s="60" t="str">
        <f t="shared" si="41"/>
        <v>1044</v>
      </c>
      <c r="C1322" s="63" t="s">
        <v>1555</v>
      </c>
      <c r="D1322" s="59" t="s">
        <v>89</v>
      </c>
      <c r="E1322" s="59"/>
      <c r="F1322" s="59"/>
      <c r="G1322" s="59">
        <v>0</v>
      </c>
      <c r="H1322" s="59">
        <v>7</v>
      </c>
      <c r="I1322" s="59" t="s">
        <v>1070</v>
      </c>
      <c r="J1322" s="102" t="s">
        <v>1556</v>
      </c>
      <c r="K1322" s="59" t="s">
        <v>61</v>
      </c>
    </row>
    <row r="1323" ht="71.25" outlineLevel="1" spans="1:11">
      <c r="A1323" s="24"/>
      <c r="B1323" s="60" t="str">
        <f t="shared" si="41"/>
        <v>1045</v>
      </c>
      <c r="C1323" s="63" t="s">
        <v>1557</v>
      </c>
      <c r="D1323" s="59" t="s">
        <v>89</v>
      </c>
      <c r="E1323" s="59"/>
      <c r="F1323" s="59"/>
      <c r="G1323" s="59">
        <v>0</v>
      </c>
      <c r="H1323" s="59">
        <v>99</v>
      </c>
      <c r="I1323" s="59" t="s">
        <v>1070</v>
      </c>
      <c r="J1323" s="102" t="s">
        <v>1558</v>
      </c>
      <c r="K1323" s="59" t="s">
        <v>61</v>
      </c>
    </row>
    <row r="1324" ht="71.25" outlineLevel="1" spans="1:11">
      <c r="A1324" s="24"/>
      <c r="B1324" s="60" t="str">
        <f t="shared" si="41"/>
        <v>1046</v>
      </c>
      <c r="C1324" s="63" t="s">
        <v>1559</v>
      </c>
      <c r="D1324" s="59" t="s">
        <v>89</v>
      </c>
      <c r="E1324" s="59"/>
      <c r="F1324" s="59"/>
      <c r="G1324" s="59">
        <v>0</v>
      </c>
      <c r="H1324" s="59">
        <v>65535</v>
      </c>
      <c r="I1324" s="59" t="s">
        <v>1070</v>
      </c>
      <c r="J1324" s="102" t="s">
        <v>1560</v>
      </c>
      <c r="K1324" s="59" t="s">
        <v>61</v>
      </c>
    </row>
    <row r="1325" outlineLevel="1" spans="1:11">
      <c r="A1325" s="24"/>
      <c r="B1325" s="60" t="str">
        <f t="shared" si="41"/>
        <v>1047</v>
      </c>
      <c r="C1325" s="67" t="s">
        <v>1561</v>
      </c>
      <c r="D1325" s="24" t="s">
        <v>89</v>
      </c>
      <c r="E1325" s="24">
        <v>0.1</v>
      </c>
      <c r="F1325" s="24" t="s">
        <v>44</v>
      </c>
      <c r="G1325" s="24">
        <v>0</v>
      </c>
      <c r="H1325" s="24">
        <v>65535</v>
      </c>
      <c r="I1325" s="24" t="s">
        <v>1070</v>
      </c>
      <c r="J1325" s="102" t="s">
        <v>1562</v>
      </c>
      <c r="K1325" s="24" t="s">
        <v>780</v>
      </c>
    </row>
    <row r="1326" outlineLevel="1" spans="1:11">
      <c r="A1326" s="24"/>
      <c r="B1326" s="60" t="str">
        <f t="shared" si="41"/>
        <v>1048</v>
      </c>
      <c r="C1326" s="67" t="s">
        <v>1563</v>
      </c>
      <c r="D1326" s="24" t="s">
        <v>89</v>
      </c>
      <c r="E1326" s="24">
        <v>0.1</v>
      </c>
      <c r="F1326" s="24" t="s">
        <v>44</v>
      </c>
      <c r="G1326" s="24">
        <v>0</v>
      </c>
      <c r="H1326" s="24">
        <v>65535</v>
      </c>
      <c r="I1326" s="24" t="s">
        <v>1070</v>
      </c>
      <c r="J1326" s="102" t="s">
        <v>1564</v>
      </c>
      <c r="K1326" s="24" t="s">
        <v>780</v>
      </c>
    </row>
    <row r="1327" ht="28.5" outlineLevel="1" spans="1:11">
      <c r="A1327" s="24"/>
      <c r="B1327" s="60" t="str">
        <f t="shared" si="41"/>
        <v>1049</v>
      </c>
      <c r="C1327" s="67" t="s">
        <v>1565</v>
      </c>
      <c r="D1327" s="24" t="s">
        <v>89</v>
      </c>
      <c r="E1327" s="24">
        <v>0.1</v>
      </c>
      <c r="F1327" s="24" t="s">
        <v>44</v>
      </c>
      <c r="G1327" s="24">
        <v>0</v>
      </c>
      <c r="H1327" s="24">
        <v>65535</v>
      </c>
      <c r="I1327" s="24" t="s">
        <v>1070</v>
      </c>
      <c r="J1327" s="102" t="s">
        <v>1566</v>
      </c>
      <c r="K1327" s="24" t="s">
        <v>780</v>
      </c>
    </row>
    <row r="1328" ht="28.5" outlineLevel="1" spans="1:11">
      <c r="A1328" s="24"/>
      <c r="B1328" s="60" t="str">
        <f t="shared" si="41"/>
        <v>104A</v>
      </c>
      <c r="C1328" s="67" t="s">
        <v>1567</v>
      </c>
      <c r="D1328" s="24" t="s">
        <v>89</v>
      </c>
      <c r="E1328" s="24">
        <v>0.1</v>
      </c>
      <c r="F1328" s="24" t="s">
        <v>44</v>
      </c>
      <c r="G1328" s="24">
        <v>0</v>
      </c>
      <c r="H1328" s="24">
        <v>65535</v>
      </c>
      <c r="I1328" s="24" t="s">
        <v>1070</v>
      </c>
      <c r="J1328" s="102" t="s">
        <v>1568</v>
      </c>
      <c r="K1328" s="24" t="s">
        <v>780</v>
      </c>
    </row>
    <row r="1329" ht="28.5" outlineLevel="1" spans="1:11">
      <c r="A1329" s="24"/>
      <c r="B1329" s="60" t="str">
        <f t="shared" si="41"/>
        <v>104B</v>
      </c>
      <c r="C1329" s="63" t="s">
        <v>1569</v>
      </c>
      <c r="D1329" s="59" t="s">
        <v>89</v>
      </c>
      <c r="E1329" s="59">
        <v>0.01</v>
      </c>
      <c r="F1329" s="59" t="s">
        <v>303</v>
      </c>
      <c r="G1329" s="59">
        <v>0</v>
      </c>
      <c r="H1329" s="59">
        <v>65535</v>
      </c>
      <c r="I1329" s="59" t="s">
        <v>1070</v>
      </c>
      <c r="J1329" s="102" t="s">
        <v>1570</v>
      </c>
      <c r="K1329" s="59" t="s">
        <v>61</v>
      </c>
    </row>
    <row r="1330" ht="28.5" outlineLevel="1" spans="1:11">
      <c r="A1330" s="24"/>
      <c r="B1330" s="60" t="str">
        <f t="shared" si="41"/>
        <v>104C</v>
      </c>
      <c r="C1330" s="63" t="s">
        <v>1571</v>
      </c>
      <c r="D1330" s="59" t="s">
        <v>89</v>
      </c>
      <c r="E1330" s="59">
        <v>0.01</v>
      </c>
      <c r="F1330" s="59" t="s">
        <v>303</v>
      </c>
      <c r="G1330" s="59">
        <v>0</v>
      </c>
      <c r="H1330" s="59">
        <v>65535</v>
      </c>
      <c r="I1330" s="59" t="s">
        <v>1070</v>
      </c>
      <c r="J1330" s="102" t="s">
        <v>1572</v>
      </c>
      <c r="K1330" s="59" t="s">
        <v>61</v>
      </c>
    </row>
    <row r="1331" ht="57" outlineLevel="1" spans="1:11">
      <c r="A1331" s="24"/>
      <c r="B1331" s="60" t="str">
        <f t="shared" si="41"/>
        <v>104D</v>
      </c>
      <c r="C1331" s="63" t="s">
        <v>1573</v>
      </c>
      <c r="D1331" s="59" t="s">
        <v>89</v>
      </c>
      <c r="E1331" s="59">
        <v>1</v>
      </c>
      <c r="F1331" s="59" t="s">
        <v>584</v>
      </c>
      <c r="G1331" s="59">
        <v>1</v>
      </c>
      <c r="H1331" s="59">
        <v>90</v>
      </c>
      <c r="I1331" s="59" t="s">
        <v>1070</v>
      </c>
      <c r="J1331" s="102" t="s">
        <v>1574</v>
      </c>
      <c r="K1331" s="59" t="s">
        <v>61</v>
      </c>
    </row>
    <row r="1332" ht="57" outlineLevel="1" spans="1:11">
      <c r="A1332" s="24"/>
      <c r="B1332" s="60" t="str">
        <f t="shared" si="41"/>
        <v>104E</v>
      </c>
      <c r="C1332" s="63" t="s">
        <v>1575</v>
      </c>
      <c r="D1332" s="59" t="s">
        <v>89</v>
      </c>
      <c r="E1332" s="59">
        <v>1</v>
      </c>
      <c r="F1332" s="59" t="s">
        <v>584</v>
      </c>
      <c r="G1332" s="59">
        <v>1</v>
      </c>
      <c r="H1332" s="59">
        <v>90</v>
      </c>
      <c r="I1332" s="59" t="s">
        <v>1070</v>
      </c>
      <c r="J1332" s="102" t="s">
        <v>1576</v>
      </c>
      <c r="K1332" s="59" t="s">
        <v>61</v>
      </c>
    </row>
    <row r="1333" outlineLevel="1" spans="1:11">
      <c r="A1333" s="24"/>
      <c r="B1333" s="60" t="str">
        <f t="shared" si="41"/>
        <v>104F</v>
      </c>
      <c r="C1333" s="63" t="s">
        <v>1577</v>
      </c>
      <c r="D1333" s="59" t="s">
        <v>89</v>
      </c>
      <c r="E1333" s="59">
        <v>1</v>
      </c>
      <c r="F1333" s="59" t="s">
        <v>1578</v>
      </c>
      <c r="G1333" s="59">
        <v>1</v>
      </c>
      <c r="H1333" s="59">
        <v>65535</v>
      </c>
      <c r="I1333" s="59" t="s">
        <v>1070</v>
      </c>
      <c r="J1333" s="102" t="s">
        <v>1579</v>
      </c>
      <c r="K1333" s="59" t="s">
        <v>61</v>
      </c>
    </row>
    <row r="1334" ht="28.5" outlineLevel="1" spans="1:11">
      <c r="A1334" s="24"/>
      <c r="B1334" s="60" t="str">
        <f t="shared" si="41"/>
        <v>1050</v>
      </c>
      <c r="C1334" s="63" t="s">
        <v>1580</v>
      </c>
      <c r="D1334" s="59" t="s">
        <v>89</v>
      </c>
      <c r="E1334" s="59">
        <v>0.1</v>
      </c>
      <c r="F1334" s="59" t="s">
        <v>44</v>
      </c>
      <c r="G1334" s="59">
        <v>0</v>
      </c>
      <c r="H1334" s="59">
        <v>65535</v>
      </c>
      <c r="I1334" s="59" t="s">
        <v>1070</v>
      </c>
      <c r="J1334" s="102" t="s">
        <v>1581</v>
      </c>
      <c r="K1334" s="59" t="s">
        <v>61</v>
      </c>
    </row>
    <row r="1335" ht="57" outlineLevel="1" spans="1:11">
      <c r="A1335" s="24"/>
      <c r="B1335" s="60" t="str">
        <f t="shared" si="41"/>
        <v>1051</v>
      </c>
      <c r="C1335" s="63" t="s">
        <v>1582</v>
      </c>
      <c r="D1335" s="59" t="s">
        <v>89</v>
      </c>
      <c r="E1335" s="59">
        <v>1</v>
      </c>
      <c r="F1335" s="59"/>
      <c r="G1335" s="59">
        <v>0</v>
      </c>
      <c r="H1335" s="59">
        <v>3</v>
      </c>
      <c r="I1335" s="59" t="s">
        <v>1070</v>
      </c>
      <c r="J1335" s="102" t="s">
        <v>1583</v>
      </c>
      <c r="K1335" s="59" t="s">
        <v>61</v>
      </c>
    </row>
    <row r="1336" ht="57" customHeight="1" outlineLevel="1" spans="1:11">
      <c r="A1336" s="24"/>
      <c r="B1336" s="60" t="str">
        <f t="shared" si="41"/>
        <v>1052</v>
      </c>
      <c r="C1336" s="63" t="s">
        <v>1584</v>
      </c>
      <c r="D1336" s="59" t="s">
        <v>89</v>
      </c>
      <c r="E1336" s="59">
        <v>1</v>
      </c>
      <c r="F1336" s="59" t="s">
        <v>584</v>
      </c>
      <c r="G1336" s="59">
        <v>5</v>
      </c>
      <c r="H1336" s="59">
        <v>100</v>
      </c>
      <c r="I1336" s="59" t="s">
        <v>1070</v>
      </c>
      <c r="J1336" s="102" t="s">
        <v>1585</v>
      </c>
      <c r="K1336" s="59" t="s">
        <v>61</v>
      </c>
    </row>
    <row r="1337" ht="246" outlineLevel="1" spans="1:11">
      <c r="A1337" s="24"/>
      <c r="B1337" s="60" t="str">
        <f t="shared" si="41"/>
        <v>1053</v>
      </c>
      <c r="C1337" s="63" t="s">
        <v>1586</v>
      </c>
      <c r="D1337" s="59" t="s">
        <v>89</v>
      </c>
      <c r="E1337" s="59"/>
      <c r="F1337" s="59"/>
      <c r="G1337" s="59"/>
      <c r="H1337" s="59"/>
      <c r="I1337" s="59" t="s">
        <v>1070</v>
      </c>
      <c r="J1337" s="102" t="s">
        <v>1587</v>
      </c>
      <c r="K1337" s="59" t="s">
        <v>61</v>
      </c>
    </row>
    <row r="1338" ht="57" outlineLevel="1" spans="1:11">
      <c r="A1338" s="24"/>
      <c r="B1338" s="60" t="str">
        <f t="shared" si="41"/>
        <v>1054</v>
      </c>
      <c r="C1338" s="63" t="s">
        <v>1588</v>
      </c>
      <c r="D1338" s="59" t="s">
        <v>89</v>
      </c>
      <c r="E1338" s="59"/>
      <c r="F1338" s="59"/>
      <c r="G1338" s="59">
        <v>0</v>
      </c>
      <c r="H1338" s="59">
        <v>99</v>
      </c>
      <c r="I1338" s="59" t="s">
        <v>1070</v>
      </c>
      <c r="J1338" s="102" t="s">
        <v>1589</v>
      </c>
      <c r="K1338" s="59" t="s">
        <v>61</v>
      </c>
    </row>
    <row r="1339" ht="57" outlineLevel="1" spans="1:11">
      <c r="A1339" s="24"/>
      <c r="B1339" s="60" t="str">
        <f t="shared" si="41"/>
        <v>1055</v>
      </c>
      <c r="C1339" s="63" t="s">
        <v>1590</v>
      </c>
      <c r="D1339" s="59" t="s">
        <v>89</v>
      </c>
      <c r="E1339" s="59"/>
      <c r="F1339" s="59"/>
      <c r="G1339" s="59">
        <v>0</v>
      </c>
      <c r="H1339" s="59">
        <v>99</v>
      </c>
      <c r="I1339" s="59" t="s">
        <v>1070</v>
      </c>
      <c r="J1339" s="102" t="s">
        <v>1589</v>
      </c>
      <c r="K1339" s="59" t="s">
        <v>61</v>
      </c>
    </row>
    <row r="1340" ht="57" outlineLevel="1" spans="1:11">
      <c r="A1340" s="24"/>
      <c r="B1340" s="60" t="str">
        <f t="shared" si="41"/>
        <v>1056</v>
      </c>
      <c r="C1340" s="63" t="s">
        <v>1591</v>
      </c>
      <c r="D1340" s="59" t="s">
        <v>89</v>
      </c>
      <c r="E1340" s="59"/>
      <c r="F1340" s="59"/>
      <c r="G1340" s="59">
        <v>0</v>
      </c>
      <c r="H1340" s="59">
        <v>99</v>
      </c>
      <c r="I1340" s="59" t="s">
        <v>1070</v>
      </c>
      <c r="J1340" s="102" t="s">
        <v>1589</v>
      </c>
      <c r="K1340" s="59" t="s">
        <v>61</v>
      </c>
    </row>
    <row r="1341" outlineLevel="1" spans="1:11">
      <c r="A1341" s="24"/>
      <c r="B1341" s="60" t="str">
        <f t="shared" si="41"/>
        <v>1057</v>
      </c>
      <c r="C1341" s="67"/>
      <c r="D1341" s="24"/>
      <c r="E1341" s="24"/>
      <c r="F1341" s="24"/>
      <c r="G1341" s="24"/>
      <c r="H1341" s="24"/>
      <c r="I1341" s="24"/>
      <c r="J1341" s="67"/>
      <c r="K1341" s="24"/>
    </row>
    <row r="1342" outlineLevel="1" spans="1:11">
      <c r="A1342" s="24"/>
      <c r="B1342" s="60" t="str">
        <f t="shared" si="41"/>
        <v>1058</v>
      </c>
      <c r="C1342" s="67"/>
      <c r="D1342" s="24"/>
      <c r="E1342" s="24"/>
      <c r="F1342" s="24"/>
      <c r="G1342" s="24"/>
      <c r="H1342" s="24"/>
      <c r="I1342" s="24"/>
      <c r="J1342" s="67"/>
      <c r="K1342" s="24"/>
    </row>
    <row r="1343" outlineLevel="1" spans="1:11">
      <c r="A1343" s="24"/>
      <c r="B1343" s="60" t="str">
        <f t="shared" si="41"/>
        <v>1059</v>
      </c>
      <c r="C1343" s="67"/>
      <c r="D1343" s="24"/>
      <c r="E1343" s="24"/>
      <c r="F1343" s="24"/>
      <c r="G1343" s="24"/>
      <c r="H1343" s="24"/>
      <c r="I1343" s="24"/>
      <c r="J1343" s="67"/>
      <c r="K1343" s="24"/>
    </row>
    <row r="1344" outlineLevel="1" spans="1:11">
      <c r="A1344" s="24"/>
      <c r="B1344" s="60" t="str">
        <f t="shared" si="41"/>
        <v>105A</v>
      </c>
      <c r="C1344" s="67"/>
      <c r="D1344" s="24"/>
      <c r="E1344" s="24"/>
      <c r="F1344" s="24"/>
      <c r="G1344" s="24"/>
      <c r="H1344" s="24"/>
      <c r="I1344" s="24"/>
      <c r="J1344" s="67"/>
      <c r="K1344" s="24"/>
    </row>
    <row r="1345" outlineLevel="1" spans="1:11">
      <c r="A1345" s="24"/>
      <c r="B1345" s="60" t="str">
        <f t="shared" si="41"/>
        <v>105B</v>
      </c>
      <c r="C1345" s="67"/>
      <c r="D1345" s="24"/>
      <c r="E1345" s="24"/>
      <c r="F1345" s="24"/>
      <c r="G1345" s="24"/>
      <c r="H1345" s="24"/>
      <c r="I1345" s="24"/>
      <c r="J1345" s="67"/>
      <c r="K1345" s="24"/>
    </row>
    <row r="1346" outlineLevel="1" spans="1:11">
      <c r="A1346" s="24"/>
      <c r="B1346" s="60" t="str">
        <f t="shared" si="41"/>
        <v>105C</v>
      </c>
      <c r="C1346" s="67"/>
      <c r="D1346" s="24"/>
      <c r="E1346" s="24"/>
      <c r="F1346" s="24"/>
      <c r="G1346" s="24"/>
      <c r="H1346" s="24"/>
      <c r="I1346" s="24"/>
      <c r="J1346" s="67"/>
      <c r="K1346" s="24"/>
    </row>
    <row r="1347" outlineLevel="1" spans="1:11">
      <c r="A1347" s="24"/>
      <c r="B1347" s="60" t="str">
        <f t="shared" si="41"/>
        <v>105D</v>
      </c>
      <c r="C1347" s="67"/>
      <c r="D1347" s="24"/>
      <c r="E1347" s="24"/>
      <c r="F1347" s="24"/>
      <c r="G1347" s="24"/>
      <c r="H1347" s="24"/>
      <c r="I1347" s="24"/>
      <c r="J1347" s="67"/>
      <c r="K1347" s="24"/>
    </row>
    <row r="1348" outlineLevel="1" spans="1:11">
      <c r="A1348" s="24"/>
      <c r="B1348" s="60" t="str">
        <f t="shared" si="41"/>
        <v>105E</v>
      </c>
      <c r="C1348" s="67"/>
      <c r="D1348" s="24"/>
      <c r="E1348" s="24"/>
      <c r="F1348" s="24"/>
      <c r="G1348" s="24"/>
      <c r="H1348" s="24"/>
      <c r="I1348" s="24"/>
      <c r="J1348" s="67"/>
      <c r="K1348" s="24"/>
    </row>
    <row r="1349" outlineLevel="1" spans="1:11">
      <c r="A1349" s="24"/>
      <c r="B1349" s="60" t="str">
        <f t="shared" si="41"/>
        <v>105F</v>
      </c>
      <c r="C1349" s="67"/>
      <c r="D1349" s="24"/>
      <c r="E1349" s="24"/>
      <c r="F1349" s="24"/>
      <c r="G1349" s="24"/>
      <c r="H1349" s="24"/>
      <c r="I1349" s="24"/>
      <c r="J1349" s="67"/>
      <c r="K1349" s="24"/>
    </row>
    <row r="1350" ht="71.25" outlineLevel="1" spans="1:11">
      <c r="A1350" s="24"/>
      <c r="B1350" s="60" t="str">
        <f t="shared" si="41"/>
        <v>1060</v>
      </c>
      <c r="C1350" s="69" t="s">
        <v>1592</v>
      </c>
      <c r="D1350" s="76" t="s">
        <v>89</v>
      </c>
      <c r="E1350" s="76"/>
      <c r="F1350" s="76"/>
      <c r="G1350" s="76">
        <v>0</v>
      </c>
      <c r="H1350" s="76">
        <v>2</v>
      </c>
      <c r="I1350" s="76" t="s">
        <v>1070</v>
      </c>
      <c r="J1350" s="101" t="s">
        <v>1593</v>
      </c>
      <c r="K1350" s="24" t="s">
        <v>61</v>
      </c>
    </row>
    <row r="1351" outlineLevel="1" spans="1:11">
      <c r="A1351" s="24"/>
      <c r="B1351" s="60" t="str">
        <f t="shared" si="41"/>
        <v>1061</v>
      </c>
      <c r="C1351" s="69" t="s">
        <v>1594</v>
      </c>
      <c r="D1351" s="76" t="s">
        <v>89</v>
      </c>
      <c r="E1351" s="76"/>
      <c r="F1351" s="76"/>
      <c r="G1351" s="76">
        <v>1</v>
      </c>
      <c r="H1351" s="76">
        <v>100</v>
      </c>
      <c r="I1351" s="76" t="s">
        <v>1070</v>
      </c>
      <c r="J1351" s="69" t="s">
        <v>1595</v>
      </c>
      <c r="K1351" s="24" t="s">
        <v>61</v>
      </c>
    </row>
    <row r="1352" outlineLevel="1" spans="1:11">
      <c r="A1352" s="24"/>
      <c r="B1352" s="60" t="str">
        <f t="shared" si="41"/>
        <v>1062</v>
      </c>
      <c r="C1352" s="67"/>
      <c r="D1352" s="24"/>
      <c r="E1352" s="24"/>
      <c r="F1352" s="24"/>
      <c r="G1352" s="24"/>
      <c r="H1352" s="24"/>
      <c r="I1352" s="24"/>
      <c r="J1352" s="67"/>
      <c r="K1352" s="24"/>
    </row>
    <row r="1353" outlineLevel="1" spans="1:11">
      <c r="A1353" s="24"/>
      <c r="B1353" s="60" t="str">
        <f t="shared" si="41"/>
        <v>1063</v>
      </c>
      <c r="C1353" s="67"/>
      <c r="D1353" s="24"/>
      <c r="E1353" s="24"/>
      <c r="F1353" s="24"/>
      <c r="G1353" s="24"/>
      <c r="H1353" s="24"/>
      <c r="I1353" s="24"/>
      <c r="J1353" s="67"/>
      <c r="K1353" s="24"/>
    </row>
    <row r="1354" outlineLevel="1" spans="1:11">
      <c r="A1354" s="24"/>
      <c r="B1354" s="60" t="str">
        <f t="shared" si="41"/>
        <v>1064</v>
      </c>
      <c r="C1354" s="67"/>
      <c r="D1354" s="24"/>
      <c r="E1354" s="24"/>
      <c r="F1354" s="24"/>
      <c r="G1354" s="24"/>
      <c r="H1354" s="24"/>
      <c r="I1354" s="24"/>
      <c r="J1354" s="67"/>
      <c r="K1354" s="24"/>
    </row>
    <row r="1355" outlineLevel="1" spans="1:11">
      <c r="A1355" s="24"/>
      <c r="B1355" s="60" t="str">
        <f t="shared" si="41"/>
        <v>1065</v>
      </c>
      <c r="C1355" s="67"/>
      <c r="D1355" s="24"/>
      <c r="E1355" s="24"/>
      <c r="F1355" s="24"/>
      <c r="G1355" s="24"/>
      <c r="H1355" s="24"/>
      <c r="I1355" s="24"/>
      <c r="J1355" s="67"/>
      <c r="K1355" s="24"/>
    </row>
    <row r="1356" outlineLevel="1" spans="1:11">
      <c r="A1356" s="24"/>
      <c r="B1356" s="60" t="str">
        <f t="shared" si="41"/>
        <v>1066</v>
      </c>
      <c r="C1356" s="67"/>
      <c r="D1356" s="24"/>
      <c r="E1356" s="24"/>
      <c r="F1356" s="24"/>
      <c r="G1356" s="24"/>
      <c r="H1356" s="24"/>
      <c r="I1356" s="24"/>
      <c r="J1356" s="67"/>
      <c r="K1356" s="24"/>
    </row>
    <row r="1357" outlineLevel="1" spans="1:11">
      <c r="A1357" s="24"/>
      <c r="B1357" s="60" t="str">
        <f t="shared" si="41"/>
        <v>1067</v>
      </c>
      <c r="C1357" s="67"/>
      <c r="D1357" s="24"/>
      <c r="E1357" s="24"/>
      <c r="F1357" s="24"/>
      <c r="G1357" s="24"/>
      <c r="H1357" s="24"/>
      <c r="I1357" s="24"/>
      <c r="J1357" s="67"/>
      <c r="K1357" s="24"/>
    </row>
    <row r="1358" outlineLevel="1" spans="1:11">
      <c r="A1358" s="24"/>
      <c r="B1358" s="60" t="str">
        <f t="shared" si="41"/>
        <v>1068</v>
      </c>
      <c r="C1358" s="67"/>
      <c r="D1358" s="24"/>
      <c r="E1358" s="24"/>
      <c r="F1358" s="24"/>
      <c r="G1358" s="24"/>
      <c r="H1358" s="24"/>
      <c r="I1358" s="24"/>
      <c r="J1358" s="67"/>
      <c r="K1358" s="24"/>
    </row>
    <row r="1359" outlineLevel="1" spans="1:11">
      <c r="A1359" s="24"/>
      <c r="B1359" s="60" t="str">
        <f t="shared" si="41"/>
        <v>1069</v>
      </c>
      <c r="C1359" s="67"/>
      <c r="D1359" s="24"/>
      <c r="E1359" s="24"/>
      <c r="F1359" s="24"/>
      <c r="G1359" s="24"/>
      <c r="H1359" s="24"/>
      <c r="I1359" s="24"/>
      <c r="J1359" s="67"/>
      <c r="K1359" s="24"/>
    </row>
    <row r="1360" outlineLevel="1" spans="1:11">
      <c r="A1360" s="24"/>
      <c r="B1360" s="60" t="str">
        <f t="shared" si="41"/>
        <v>106A</v>
      </c>
      <c r="C1360" s="67"/>
      <c r="D1360" s="24"/>
      <c r="E1360" s="24"/>
      <c r="F1360" s="24"/>
      <c r="G1360" s="24"/>
      <c r="H1360" s="24"/>
      <c r="I1360" s="24"/>
      <c r="J1360" s="67"/>
      <c r="K1360" s="24"/>
    </row>
    <row r="1361" outlineLevel="1" spans="1:11">
      <c r="A1361" s="24"/>
      <c r="B1361" s="60" t="str">
        <f t="shared" si="41"/>
        <v>106B</v>
      </c>
      <c r="C1361" s="67"/>
      <c r="D1361" s="24"/>
      <c r="E1361" s="24"/>
      <c r="F1361" s="24"/>
      <c r="G1361" s="24"/>
      <c r="H1361" s="24"/>
      <c r="I1361" s="24"/>
      <c r="J1361" s="67"/>
      <c r="K1361" s="24"/>
    </row>
    <row r="1362" outlineLevel="1" spans="1:11">
      <c r="A1362" s="24"/>
      <c r="B1362" s="60" t="str">
        <f t="shared" si="41"/>
        <v>106C</v>
      </c>
      <c r="C1362" s="67"/>
      <c r="D1362" s="24"/>
      <c r="E1362" s="24"/>
      <c r="F1362" s="24"/>
      <c r="G1362" s="24"/>
      <c r="H1362" s="24"/>
      <c r="I1362" s="24"/>
      <c r="J1362" s="67"/>
      <c r="K1362" s="24"/>
    </row>
    <row r="1363" outlineLevel="1" spans="1:11">
      <c r="A1363" s="24"/>
      <c r="B1363" s="60" t="str">
        <f t="shared" si="41"/>
        <v>106D</v>
      </c>
      <c r="C1363" s="67"/>
      <c r="D1363" s="24"/>
      <c r="E1363" s="24"/>
      <c r="F1363" s="24"/>
      <c r="G1363" s="24"/>
      <c r="H1363" s="24"/>
      <c r="I1363" s="24"/>
      <c r="J1363" s="67"/>
      <c r="K1363" s="24"/>
    </row>
    <row r="1364" outlineLevel="1" spans="1:11">
      <c r="A1364" s="24"/>
      <c r="B1364" s="60" t="str">
        <f t="shared" si="41"/>
        <v>106E</v>
      </c>
      <c r="C1364" s="67"/>
      <c r="D1364" s="24"/>
      <c r="E1364" s="24"/>
      <c r="F1364" s="24"/>
      <c r="G1364" s="24"/>
      <c r="H1364" s="24"/>
      <c r="I1364" s="24"/>
      <c r="J1364" s="67"/>
      <c r="K1364" s="24"/>
    </row>
    <row r="1365" outlineLevel="1" spans="1:11">
      <c r="A1365" s="24"/>
      <c r="B1365" s="60" t="str">
        <f t="shared" si="41"/>
        <v>106F</v>
      </c>
      <c r="C1365" s="67"/>
      <c r="D1365" s="24"/>
      <c r="E1365" s="24"/>
      <c r="F1365" s="24"/>
      <c r="G1365" s="24"/>
      <c r="H1365" s="24"/>
      <c r="I1365" s="24"/>
      <c r="J1365" s="67"/>
      <c r="K1365" s="24"/>
    </row>
    <row r="1366" outlineLevel="1" spans="1:11">
      <c r="A1366" s="24"/>
      <c r="B1366" s="60" t="str">
        <f t="shared" si="41"/>
        <v>1070</v>
      </c>
      <c r="C1366" s="67"/>
      <c r="D1366" s="24"/>
      <c r="E1366" s="24"/>
      <c r="F1366" s="24"/>
      <c r="G1366" s="24"/>
      <c r="H1366" s="24"/>
      <c r="I1366" s="24"/>
      <c r="J1366" s="67"/>
      <c r="K1366" s="24"/>
    </row>
    <row r="1367" outlineLevel="1" spans="1:11">
      <c r="A1367" s="24"/>
      <c r="B1367" s="60" t="str">
        <f t="shared" si="41"/>
        <v>1071</v>
      </c>
      <c r="C1367" s="67"/>
      <c r="D1367" s="24"/>
      <c r="E1367" s="24"/>
      <c r="F1367" s="24"/>
      <c r="G1367" s="24"/>
      <c r="H1367" s="24"/>
      <c r="I1367" s="24"/>
      <c r="J1367" s="67"/>
      <c r="K1367" s="24"/>
    </row>
    <row r="1368" outlineLevel="1" spans="1:11">
      <c r="A1368" s="24"/>
      <c r="B1368" s="60" t="str">
        <f t="shared" si="41"/>
        <v>1072</v>
      </c>
      <c r="C1368" s="67"/>
      <c r="D1368" s="24"/>
      <c r="E1368" s="24"/>
      <c r="F1368" s="24"/>
      <c r="G1368" s="24"/>
      <c r="H1368" s="24"/>
      <c r="I1368" s="24"/>
      <c r="J1368" s="67"/>
      <c r="K1368" s="24"/>
    </row>
    <row r="1369" outlineLevel="1" spans="1:11">
      <c r="A1369" s="24"/>
      <c r="B1369" s="60" t="str">
        <f t="shared" si="41"/>
        <v>1073</v>
      </c>
      <c r="C1369" s="67"/>
      <c r="D1369" s="24"/>
      <c r="E1369" s="24"/>
      <c r="F1369" s="24"/>
      <c r="G1369" s="24"/>
      <c r="H1369" s="24"/>
      <c r="I1369" s="24"/>
      <c r="J1369" s="67"/>
      <c r="K1369" s="24"/>
    </row>
    <row r="1370" outlineLevel="1" spans="1:11">
      <c r="A1370" s="24"/>
      <c r="B1370" s="60" t="str">
        <f t="shared" si="41"/>
        <v>1074</v>
      </c>
      <c r="C1370" s="67"/>
      <c r="D1370" s="24"/>
      <c r="E1370" s="24"/>
      <c r="F1370" s="24"/>
      <c r="G1370" s="24"/>
      <c r="H1370" s="24"/>
      <c r="I1370" s="24"/>
      <c r="J1370" s="67"/>
      <c r="K1370" s="24"/>
    </row>
    <row r="1371" outlineLevel="1" spans="1:11">
      <c r="A1371" s="24"/>
      <c r="B1371" s="60" t="str">
        <f t="shared" si="41"/>
        <v>1075</v>
      </c>
      <c r="C1371" s="67"/>
      <c r="D1371" s="24"/>
      <c r="E1371" s="24"/>
      <c r="F1371" s="24"/>
      <c r="G1371" s="24"/>
      <c r="H1371" s="24"/>
      <c r="I1371" s="24"/>
      <c r="J1371" s="67"/>
      <c r="K1371" s="24"/>
    </row>
    <row r="1372" outlineLevel="1" spans="1:11">
      <c r="A1372" s="24"/>
      <c r="B1372" s="60" t="str">
        <f t="shared" si="41"/>
        <v>1076</v>
      </c>
      <c r="C1372" s="67"/>
      <c r="D1372" s="24"/>
      <c r="E1372" s="24"/>
      <c r="F1372" s="24"/>
      <c r="G1372" s="24"/>
      <c r="H1372" s="24"/>
      <c r="I1372" s="24"/>
      <c r="J1372" s="67"/>
      <c r="K1372" s="24"/>
    </row>
    <row r="1373" outlineLevel="1" spans="1:11">
      <c r="A1373" s="24"/>
      <c r="B1373" s="60" t="str">
        <f t="shared" si="41"/>
        <v>1077</v>
      </c>
      <c r="C1373" s="67"/>
      <c r="D1373" s="24"/>
      <c r="E1373" s="24"/>
      <c r="F1373" s="24"/>
      <c r="G1373" s="24"/>
      <c r="H1373" s="24"/>
      <c r="I1373" s="24"/>
      <c r="J1373" s="67"/>
      <c r="K1373" s="24"/>
    </row>
    <row r="1374" outlineLevel="1" spans="1:11">
      <c r="A1374" s="24"/>
      <c r="B1374" s="60" t="str">
        <f t="shared" si="41"/>
        <v>1078</v>
      </c>
      <c r="C1374" s="67"/>
      <c r="D1374" s="24"/>
      <c r="E1374" s="24"/>
      <c r="F1374" s="24"/>
      <c r="G1374" s="24"/>
      <c r="H1374" s="24"/>
      <c r="I1374" s="24"/>
      <c r="J1374" s="67"/>
      <c r="K1374" s="24"/>
    </row>
    <row r="1375" outlineLevel="1" spans="1:11">
      <c r="A1375" s="24"/>
      <c r="B1375" s="60" t="str">
        <f t="shared" si="41"/>
        <v>1079</v>
      </c>
      <c r="C1375" s="67"/>
      <c r="D1375" s="24"/>
      <c r="E1375" s="24"/>
      <c r="F1375" s="24"/>
      <c r="G1375" s="24"/>
      <c r="H1375" s="24"/>
      <c r="I1375" s="24"/>
      <c r="J1375" s="67"/>
      <c r="K1375" s="24"/>
    </row>
    <row r="1376" outlineLevel="1" spans="1:11">
      <c r="A1376" s="24"/>
      <c r="B1376" s="60" t="str">
        <f t="shared" si="41"/>
        <v>107A</v>
      </c>
      <c r="C1376" s="67"/>
      <c r="D1376" s="24"/>
      <c r="E1376" s="24"/>
      <c r="F1376" s="24"/>
      <c r="G1376" s="24"/>
      <c r="H1376" s="24"/>
      <c r="I1376" s="24"/>
      <c r="J1376" s="67"/>
      <c r="K1376" s="24"/>
    </row>
    <row r="1377" outlineLevel="1" spans="1:11">
      <c r="A1377" s="24"/>
      <c r="B1377" s="60" t="str">
        <f t="shared" si="41"/>
        <v>107B</v>
      </c>
      <c r="C1377" s="67"/>
      <c r="D1377" s="24"/>
      <c r="E1377" s="24"/>
      <c r="F1377" s="24"/>
      <c r="G1377" s="24"/>
      <c r="H1377" s="24"/>
      <c r="I1377" s="24"/>
      <c r="J1377" s="67"/>
      <c r="K1377" s="24"/>
    </row>
    <row r="1378" outlineLevel="1" spans="1:11">
      <c r="A1378" s="24"/>
      <c r="B1378" s="60" t="str">
        <f t="shared" si="41"/>
        <v>107C</v>
      </c>
      <c r="C1378" s="67"/>
      <c r="D1378" s="24"/>
      <c r="E1378" s="24"/>
      <c r="F1378" s="24"/>
      <c r="G1378" s="24"/>
      <c r="H1378" s="24"/>
      <c r="I1378" s="24"/>
      <c r="J1378" s="67"/>
      <c r="K1378" s="24"/>
    </row>
    <row r="1379" outlineLevel="1" spans="1:11">
      <c r="A1379" s="24"/>
      <c r="B1379" s="60" t="str">
        <f t="shared" si="41"/>
        <v>107D</v>
      </c>
      <c r="C1379" s="67"/>
      <c r="D1379" s="24"/>
      <c r="E1379" s="24"/>
      <c r="F1379" s="24"/>
      <c r="G1379" s="24"/>
      <c r="H1379" s="24"/>
      <c r="I1379" s="24"/>
      <c r="J1379" s="67"/>
      <c r="K1379" s="24"/>
    </row>
    <row r="1380" outlineLevel="1" spans="1:11">
      <c r="A1380" s="24"/>
      <c r="B1380" s="60" t="str">
        <f t="shared" si="41"/>
        <v>107E</v>
      </c>
      <c r="C1380" s="67"/>
      <c r="D1380" s="24"/>
      <c r="E1380" s="24"/>
      <c r="F1380" s="24"/>
      <c r="G1380" s="24"/>
      <c r="H1380" s="24"/>
      <c r="I1380" s="24"/>
      <c r="J1380" s="67"/>
      <c r="K1380" s="24"/>
    </row>
    <row r="1381" outlineLevel="1" spans="1:11">
      <c r="A1381" s="24"/>
      <c r="B1381" s="60" t="str">
        <f t="shared" si="41"/>
        <v>107F</v>
      </c>
      <c r="C1381" s="67"/>
      <c r="D1381" s="24"/>
      <c r="E1381" s="24"/>
      <c r="F1381" s="24"/>
      <c r="G1381" s="24"/>
      <c r="H1381" s="24"/>
      <c r="I1381" s="24"/>
      <c r="J1381" s="67"/>
      <c r="K1381" s="24"/>
    </row>
    <row r="1382" s="22" customFormat="1" outlineLevel="1" spans="1:11">
      <c r="A1382" s="24"/>
      <c r="B1382" s="60" t="str">
        <f t="shared" si="41"/>
        <v>1080</v>
      </c>
      <c r="C1382" s="63" t="s">
        <v>1596</v>
      </c>
      <c r="D1382" s="59" t="s">
        <v>59</v>
      </c>
      <c r="E1382" s="59"/>
      <c r="F1382" s="59"/>
      <c r="G1382" s="59"/>
      <c r="H1382" s="59"/>
      <c r="I1382" s="59" t="s">
        <v>38</v>
      </c>
      <c r="J1382" s="115" t="s">
        <v>1453</v>
      </c>
      <c r="K1382" s="24" t="s">
        <v>780</v>
      </c>
    </row>
    <row r="1383" s="22" customFormat="1" outlineLevel="1" spans="1:11">
      <c r="A1383" s="24"/>
      <c r="B1383" s="60" t="str">
        <f t="shared" si="41"/>
        <v>1081</v>
      </c>
      <c r="C1383" s="63"/>
      <c r="D1383" s="59"/>
      <c r="E1383" s="59"/>
      <c r="F1383" s="59"/>
      <c r="G1383" s="59"/>
      <c r="H1383" s="59"/>
      <c r="I1383" s="59"/>
      <c r="J1383" s="116"/>
      <c r="K1383" s="24" t="s">
        <v>780</v>
      </c>
    </row>
    <row r="1384" s="22" customFormat="1" outlineLevel="1" spans="1:11">
      <c r="A1384" s="24"/>
      <c r="B1384" s="60" t="str">
        <f t="shared" ref="B1384:B1447" si="42">DEC2HEX(4096+ROW()-ROW($B$1254),4)</f>
        <v>1082</v>
      </c>
      <c r="C1384" s="63"/>
      <c r="D1384" s="59"/>
      <c r="E1384" s="59"/>
      <c r="F1384" s="59"/>
      <c r="G1384" s="59"/>
      <c r="H1384" s="59"/>
      <c r="I1384" s="59"/>
      <c r="J1384" s="116"/>
      <c r="K1384" s="24" t="s">
        <v>780</v>
      </c>
    </row>
    <row r="1385" s="22" customFormat="1" outlineLevel="1" spans="1:11">
      <c r="A1385" s="24"/>
      <c r="B1385" s="60" t="str">
        <f t="shared" si="42"/>
        <v>1083</v>
      </c>
      <c r="C1385" s="63"/>
      <c r="D1385" s="59"/>
      <c r="E1385" s="59"/>
      <c r="F1385" s="59"/>
      <c r="G1385" s="59"/>
      <c r="H1385" s="59"/>
      <c r="I1385" s="59"/>
      <c r="J1385" s="117"/>
      <c r="K1385" s="24" t="s">
        <v>780</v>
      </c>
    </row>
    <row r="1386" s="22" customFormat="1" outlineLevel="1" spans="1:11">
      <c r="A1386" s="24"/>
      <c r="B1386" s="60" t="str">
        <f t="shared" si="42"/>
        <v>1084</v>
      </c>
      <c r="C1386" s="119" t="s">
        <v>1597</v>
      </c>
      <c r="D1386" s="120" t="s">
        <v>89</v>
      </c>
      <c r="E1386" s="121"/>
      <c r="F1386" s="121"/>
      <c r="G1386" s="121"/>
      <c r="H1386" s="121"/>
      <c r="I1386" s="120" t="s">
        <v>1070</v>
      </c>
      <c r="J1386" s="119" t="s">
        <v>1598</v>
      </c>
      <c r="K1386" s="24" t="s">
        <v>780</v>
      </c>
    </row>
    <row r="1387" s="22" customFormat="1" ht="28.5" outlineLevel="1" spans="1:11">
      <c r="A1387" s="24"/>
      <c r="B1387" s="60" t="str">
        <f t="shared" si="42"/>
        <v>1085</v>
      </c>
      <c r="C1387" s="122" t="s">
        <v>1599</v>
      </c>
      <c r="D1387" s="120" t="s">
        <v>89</v>
      </c>
      <c r="E1387" s="120"/>
      <c r="F1387" s="120"/>
      <c r="G1387" s="120"/>
      <c r="H1387" s="120"/>
      <c r="I1387" s="120" t="s">
        <v>1070</v>
      </c>
      <c r="J1387" s="119" t="s">
        <v>1600</v>
      </c>
      <c r="K1387" s="24" t="s">
        <v>780</v>
      </c>
    </row>
    <row r="1388" s="22" customFormat="1" ht="41.25" customHeight="1" outlineLevel="1" spans="1:11">
      <c r="A1388" s="24"/>
      <c r="B1388" s="60" t="str">
        <f t="shared" si="42"/>
        <v>1086</v>
      </c>
      <c r="C1388" s="123" t="s">
        <v>1601</v>
      </c>
      <c r="D1388" s="124" t="s">
        <v>164</v>
      </c>
      <c r="E1388" s="124"/>
      <c r="F1388" s="124"/>
      <c r="G1388" s="124"/>
      <c r="H1388" s="124"/>
      <c r="I1388" s="124" t="s">
        <v>38</v>
      </c>
      <c r="J1388" s="127" t="s">
        <v>1602</v>
      </c>
      <c r="K1388" s="24" t="s">
        <v>780</v>
      </c>
    </row>
    <row r="1389" s="22" customFormat="1" ht="37.5" customHeight="1" outlineLevel="1" spans="1:11">
      <c r="A1389" s="24"/>
      <c r="B1389" s="60" t="str">
        <f t="shared" si="42"/>
        <v>1087</v>
      </c>
      <c r="C1389" s="125"/>
      <c r="D1389" s="126"/>
      <c r="E1389" s="126"/>
      <c r="F1389" s="126"/>
      <c r="G1389" s="126"/>
      <c r="H1389" s="126"/>
      <c r="I1389" s="126"/>
      <c r="J1389" s="128"/>
      <c r="K1389" s="24" t="s">
        <v>780</v>
      </c>
    </row>
    <row r="1390" s="22" customFormat="1" outlineLevel="1" spans="1:11">
      <c r="A1390" s="24"/>
      <c r="B1390" s="60" t="str">
        <f t="shared" si="42"/>
        <v>1088</v>
      </c>
      <c r="C1390" s="122" t="s">
        <v>1603</v>
      </c>
      <c r="D1390" s="120" t="s">
        <v>131</v>
      </c>
      <c r="E1390" s="120">
        <v>1</v>
      </c>
      <c r="F1390" s="120"/>
      <c r="G1390" s="120">
        <v>0</v>
      </c>
      <c r="H1390" s="120">
        <v>127</v>
      </c>
      <c r="I1390" s="120" t="s">
        <v>1070</v>
      </c>
      <c r="J1390" s="111" t="s">
        <v>1604</v>
      </c>
      <c r="K1390" s="24" t="s">
        <v>780</v>
      </c>
    </row>
    <row r="1391" s="22" customFormat="1" outlineLevel="1" spans="1:11">
      <c r="A1391" s="24"/>
      <c r="B1391" s="60" t="str">
        <f t="shared" si="42"/>
        <v>1089</v>
      </c>
      <c r="C1391" s="122" t="s">
        <v>1605</v>
      </c>
      <c r="D1391" s="120" t="s">
        <v>131</v>
      </c>
      <c r="E1391" s="120">
        <v>1</v>
      </c>
      <c r="F1391" s="120"/>
      <c r="G1391" s="120">
        <v>0</v>
      </c>
      <c r="H1391" s="120">
        <v>127</v>
      </c>
      <c r="I1391" s="120" t="s">
        <v>1070</v>
      </c>
      <c r="J1391" s="111" t="s">
        <v>1604</v>
      </c>
      <c r="K1391" s="24" t="s">
        <v>780</v>
      </c>
    </row>
    <row r="1392" s="22" customFormat="1" outlineLevel="1" spans="1:11">
      <c r="A1392" s="24"/>
      <c r="B1392" s="60" t="str">
        <f t="shared" si="42"/>
        <v>108A</v>
      </c>
      <c r="C1392" s="122" t="s">
        <v>1606</v>
      </c>
      <c r="D1392" s="120" t="s">
        <v>131</v>
      </c>
      <c r="E1392" s="120">
        <v>1</v>
      </c>
      <c r="F1392" s="120"/>
      <c r="G1392" s="120">
        <v>0</v>
      </c>
      <c r="H1392" s="120">
        <v>127</v>
      </c>
      <c r="I1392" s="120" t="s">
        <v>1070</v>
      </c>
      <c r="J1392" s="111" t="s">
        <v>1604</v>
      </c>
      <c r="K1392" s="24" t="s">
        <v>780</v>
      </c>
    </row>
    <row r="1393" s="22" customFormat="1" outlineLevel="1" spans="1:11">
      <c r="A1393" s="24"/>
      <c r="B1393" s="60" t="str">
        <f t="shared" si="42"/>
        <v>108B</v>
      </c>
      <c r="C1393" s="122" t="s">
        <v>1607</v>
      </c>
      <c r="D1393" s="120" t="s">
        <v>131</v>
      </c>
      <c r="E1393" s="120">
        <v>1</v>
      </c>
      <c r="F1393" s="120"/>
      <c r="G1393" s="120">
        <v>0</v>
      </c>
      <c r="H1393" s="120">
        <v>127</v>
      </c>
      <c r="I1393" s="120" t="s">
        <v>1070</v>
      </c>
      <c r="J1393" s="111" t="s">
        <v>1604</v>
      </c>
      <c r="K1393" s="24" t="s">
        <v>780</v>
      </c>
    </row>
    <row r="1394" s="22" customFormat="1" ht="28.5" outlineLevel="1" spans="1:11">
      <c r="A1394" s="24"/>
      <c r="B1394" s="60" t="str">
        <f t="shared" si="42"/>
        <v>108C</v>
      </c>
      <c r="C1394" s="122" t="s">
        <v>1608</v>
      </c>
      <c r="D1394" s="120" t="s">
        <v>89</v>
      </c>
      <c r="E1394" s="120"/>
      <c r="F1394" s="120"/>
      <c r="G1394" s="120" t="s">
        <v>1609</v>
      </c>
      <c r="H1394" s="120" t="s">
        <v>1609</v>
      </c>
      <c r="I1394" s="120" t="s">
        <v>1070</v>
      </c>
      <c r="J1394" s="111" t="s">
        <v>1610</v>
      </c>
      <c r="K1394" s="24" t="s">
        <v>780</v>
      </c>
    </row>
    <row r="1395" s="22" customFormat="1" ht="57" outlineLevel="1" spans="1:11">
      <c r="A1395" s="24"/>
      <c r="B1395" s="60" t="str">
        <f t="shared" si="42"/>
        <v>108D</v>
      </c>
      <c r="C1395" s="63" t="s">
        <v>1611</v>
      </c>
      <c r="D1395" s="121" t="s">
        <v>89</v>
      </c>
      <c r="E1395" s="121">
        <v>1</v>
      </c>
      <c r="F1395" s="59"/>
      <c r="G1395" s="121">
        <v>1</v>
      </c>
      <c r="H1395" s="121">
        <v>32</v>
      </c>
      <c r="I1395" s="121" t="s">
        <v>1070</v>
      </c>
      <c r="J1395" s="101" t="s">
        <v>1612</v>
      </c>
      <c r="K1395" s="24" t="s">
        <v>780</v>
      </c>
    </row>
    <row r="1396" s="22" customFormat="1" outlineLevel="1" spans="1:11">
      <c r="A1396" s="24"/>
      <c r="B1396" s="60" t="str">
        <f t="shared" si="42"/>
        <v>108E</v>
      </c>
      <c r="C1396" s="63" t="s">
        <v>1613</v>
      </c>
      <c r="D1396" s="121" t="s">
        <v>89</v>
      </c>
      <c r="E1396" s="121">
        <v>1</v>
      </c>
      <c r="F1396" s="59"/>
      <c r="G1396" s="121">
        <v>0</v>
      </c>
      <c r="H1396" s="121">
        <v>32</v>
      </c>
      <c r="I1396" s="59" t="s">
        <v>38</v>
      </c>
      <c r="J1396" s="101" t="s">
        <v>1614</v>
      </c>
      <c r="K1396" s="24" t="s">
        <v>780</v>
      </c>
    </row>
    <row r="1397" s="22" customFormat="1" outlineLevel="1" spans="1:11">
      <c r="A1397" s="24"/>
      <c r="B1397" s="60" t="str">
        <f t="shared" si="42"/>
        <v>108F</v>
      </c>
      <c r="C1397" s="67"/>
      <c r="D1397" s="24"/>
      <c r="E1397" s="24"/>
      <c r="F1397" s="24"/>
      <c r="G1397" s="24"/>
      <c r="H1397" s="24"/>
      <c r="I1397" s="24"/>
      <c r="J1397" s="67"/>
      <c r="K1397" s="24"/>
    </row>
    <row r="1398" s="22" customFormat="1" outlineLevel="1" spans="1:11">
      <c r="A1398" s="24"/>
      <c r="B1398" s="60" t="str">
        <f t="shared" si="42"/>
        <v>1090</v>
      </c>
      <c r="C1398" s="67"/>
      <c r="D1398" s="24"/>
      <c r="E1398" s="24"/>
      <c r="F1398" s="24"/>
      <c r="G1398" s="24"/>
      <c r="H1398" s="24"/>
      <c r="I1398" s="24"/>
      <c r="J1398" s="67"/>
      <c r="K1398" s="24"/>
    </row>
    <row r="1399" s="22" customFormat="1" outlineLevel="1" spans="1:11">
      <c r="A1399" s="24"/>
      <c r="B1399" s="60" t="str">
        <f t="shared" si="42"/>
        <v>1091</v>
      </c>
      <c r="C1399" s="67"/>
      <c r="D1399" s="24"/>
      <c r="E1399" s="24"/>
      <c r="F1399" s="24"/>
      <c r="G1399" s="24"/>
      <c r="H1399" s="24"/>
      <c r="I1399" s="24"/>
      <c r="J1399" s="67"/>
      <c r="K1399" s="24"/>
    </row>
    <row r="1400" s="22" customFormat="1" outlineLevel="1" spans="1:11">
      <c r="A1400" s="24"/>
      <c r="B1400" s="60" t="str">
        <f t="shared" si="42"/>
        <v>1092</v>
      </c>
      <c r="C1400" s="67"/>
      <c r="D1400" s="24"/>
      <c r="E1400" s="24"/>
      <c r="F1400" s="24"/>
      <c r="G1400" s="24"/>
      <c r="H1400" s="24"/>
      <c r="I1400" s="24"/>
      <c r="J1400" s="67"/>
      <c r="K1400" s="24"/>
    </row>
    <row r="1401" s="22" customFormat="1" outlineLevel="1" spans="1:11">
      <c r="A1401" s="24"/>
      <c r="B1401" s="60" t="str">
        <f t="shared" si="42"/>
        <v>1093</v>
      </c>
      <c r="C1401" s="67"/>
      <c r="D1401" s="24"/>
      <c r="E1401" s="24"/>
      <c r="F1401" s="24"/>
      <c r="G1401" s="24"/>
      <c r="H1401" s="24"/>
      <c r="I1401" s="24"/>
      <c r="J1401" s="67"/>
      <c r="K1401" s="24"/>
    </row>
    <row r="1402" s="22" customFormat="1" outlineLevel="1" spans="1:11">
      <c r="A1402" s="24"/>
      <c r="B1402" s="60" t="str">
        <f t="shared" si="42"/>
        <v>1094</v>
      </c>
      <c r="C1402" s="67"/>
      <c r="D1402" s="24"/>
      <c r="E1402" s="24"/>
      <c r="F1402" s="24"/>
      <c r="G1402" s="24"/>
      <c r="H1402" s="24"/>
      <c r="I1402" s="24"/>
      <c r="J1402" s="67"/>
      <c r="K1402" s="24"/>
    </row>
    <row r="1403" s="22" customFormat="1" outlineLevel="1" spans="1:11">
      <c r="A1403" s="24"/>
      <c r="B1403" s="60" t="str">
        <f t="shared" si="42"/>
        <v>1095</v>
      </c>
      <c r="C1403" s="67"/>
      <c r="D1403" s="24"/>
      <c r="E1403" s="24"/>
      <c r="F1403" s="24"/>
      <c r="G1403" s="24"/>
      <c r="H1403" s="24"/>
      <c r="I1403" s="24"/>
      <c r="J1403" s="67"/>
      <c r="K1403" s="24"/>
    </row>
    <row r="1404" s="22" customFormat="1" outlineLevel="1" spans="1:11">
      <c r="A1404" s="24"/>
      <c r="B1404" s="60" t="str">
        <f t="shared" si="42"/>
        <v>1096</v>
      </c>
      <c r="C1404" s="67"/>
      <c r="D1404" s="24"/>
      <c r="E1404" s="24"/>
      <c r="F1404" s="24"/>
      <c r="G1404" s="24"/>
      <c r="H1404" s="24"/>
      <c r="I1404" s="24"/>
      <c r="J1404" s="67"/>
      <c r="K1404" s="24"/>
    </row>
    <row r="1405" s="22" customFormat="1" outlineLevel="1" spans="1:11">
      <c r="A1405" s="24"/>
      <c r="B1405" s="60" t="str">
        <f t="shared" si="42"/>
        <v>1097</v>
      </c>
      <c r="C1405" s="67"/>
      <c r="D1405" s="24"/>
      <c r="E1405" s="24"/>
      <c r="F1405" s="24"/>
      <c r="G1405" s="24"/>
      <c r="H1405" s="24"/>
      <c r="I1405" s="24"/>
      <c r="J1405" s="67"/>
      <c r="K1405" s="24"/>
    </row>
    <row r="1406" s="22" customFormat="1" outlineLevel="1" spans="1:11">
      <c r="A1406" s="24"/>
      <c r="B1406" s="104" t="str">
        <f t="shared" si="42"/>
        <v>1098</v>
      </c>
      <c r="C1406" s="75"/>
      <c r="D1406" s="82"/>
      <c r="E1406" s="82"/>
      <c r="F1406" s="82"/>
      <c r="G1406" s="82"/>
      <c r="H1406" s="82"/>
      <c r="I1406" s="82"/>
      <c r="J1406" s="75"/>
      <c r="K1406" s="24"/>
    </row>
    <row r="1407" s="22" customFormat="1" outlineLevel="1" spans="1:11">
      <c r="A1407" s="24"/>
      <c r="B1407" s="104" t="str">
        <f t="shared" si="42"/>
        <v>1099</v>
      </c>
      <c r="C1407" s="75"/>
      <c r="D1407" s="82"/>
      <c r="E1407" s="82"/>
      <c r="F1407" s="82"/>
      <c r="G1407" s="82"/>
      <c r="H1407" s="82"/>
      <c r="I1407" s="82"/>
      <c r="J1407" s="75"/>
      <c r="K1407" s="24"/>
    </row>
    <row r="1408" s="22" customFormat="1" outlineLevel="1" spans="1:11">
      <c r="A1408" s="24"/>
      <c r="B1408" s="104" t="str">
        <f t="shared" si="42"/>
        <v>109A</v>
      </c>
      <c r="C1408" s="75"/>
      <c r="D1408" s="82"/>
      <c r="E1408" s="82"/>
      <c r="F1408" s="82"/>
      <c r="G1408" s="82"/>
      <c r="H1408" s="82"/>
      <c r="I1408" s="82"/>
      <c r="J1408" s="75"/>
      <c r="K1408" s="24"/>
    </row>
    <row r="1409" s="22" customFormat="1" outlineLevel="1" spans="1:11">
      <c r="A1409" s="24"/>
      <c r="B1409" s="104" t="str">
        <f t="shared" si="42"/>
        <v>109B</v>
      </c>
      <c r="C1409" s="75"/>
      <c r="D1409" s="82"/>
      <c r="E1409" s="82"/>
      <c r="F1409" s="82"/>
      <c r="G1409" s="82"/>
      <c r="H1409" s="82"/>
      <c r="I1409" s="82"/>
      <c r="J1409" s="75"/>
      <c r="K1409" s="24"/>
    </row>
    <row r="1410" s="22" customFormat="1" outlineLevel="1" spans="1:11">
      <c r="A1410" s="24"/>
      <c r="B1410" s="104" t="str">
        <f t="shared" si="42"/>
        <v>109C</v>
      </c>
      <c r="C1410" s="75"/>
      <c r="D1410" s="82"/>
      <c r="E1410" s="82"/>
      <c r="F1410" s="82"/>
      <c r="G1410" s="82"/>
      <c r="H1410" s="82"/>
      <c r="I1410" s="82"/>
      <c r="J1410" s="75"/>
      <c r="K1410" s="24"/>
    </row>
    <row r="1411" s="22" customFormat="1" outlineLevel="1" spans="1:11">
      <c r="A1411" s="24"/>
      <c r="B1411" s="60" t="str">
        <f t="shared" si="42"/>
        <v>109D</v>
      </c>
      <c r="C1411" s="67"/>
      <c r="D1411" s="24"/>
      <c r="E1411" s="24"/>
      <c r="F1411" s="24"/>
      <c r="G1411" s="24"/>
      <c r="H1411" s="24"/>
      <c r="I1411" s="24"/>
      <c r="J1411" s="67"/>
      <c r="K1411" s="24"/>
    </row>
    <row r="1412" s="22" customFormat="1" outlineLevel="1" spans="1:11">
      <c r="A1412" s="24"/>
      <c r="B1412" s="60" t="str">
        <f t="shared" si="42"/>
        <v>109E</v>
      </c>
      <c r="C1412" s="67"/>
      <c r="D1412" s="24"/>
      <c r="E1412" s="24"/>
      <c r="F1412" s="24"/>
      <c r="G1412" s="24"/>
      <c r="H1412" s="24"/>
      <c r="I1412" s="24"/>
      <c r="J1412" s="67"/>
      <c r="K1412" s="24"/>
    </row>
    <row r="1413" s="22" customFormat="1" outlineLevel="1" spans="1:11">
      <c r="A1413" s="24"/>
      <c r="B1413" s="60" t="str">
        <f t="shared" si="42"/>
        <v>109F</v>
      </c>
      <c r="C1413" s="67"/>
      <c r="D1413" s="24"/>
      <c r="E1413" s="24"/>
      <c r="F1413" s="24"/>
      <c r="G1413" s="24"/>
      <c r="H1413" s="24"/>
      <c r="I1413" s="24"/>
      <c r="J1413" s="67"/>
      <c r="K1413" s="24"/>
    </row>
    <row r="1414" s="22" customFormat="1" outlineLevel="1" spans="1:11">
      <c r="A1414" s="24"/>
      <c r="B1414" s="60" t="str">
        <f t="shared" si="42"/>
        <v>10A0</v>
      </c>
      <c r="C1414" s="69" t="s">
        <v>1615</v>
      </c>
      <c r="D1414" s="76" t="s">
        <v>89</v>
      </c>
      <c r="E1414" s="76"/>
      <c r="F1414" s="76"/>
      <c r="G1414" s="76"/>
      <c r="H1414" s="76"/>
      <c r="I1414" s="76" t="s">
        <v>1070</v>
      </c>
      <c r="J1414" s="69"/>
      <c r="K1414" s="76"/>
    </row>
    <row r="1415" s="22" customFormat="1" ht="99.75" outlineLevel="1" spans="1:11">
      <c r="A1415" s="24"/>
      <c r="B1415" s="60" t="str">
        <f t="shared" si="42"/>
        <v>10A1</v>
      </c>
      <c r="C1415" s="69" t="s">
        <v>1616</v>
      </c>
      <c r="D1415" s="76" t="s">
        <v>89</v>
      </c>
      <c r="E1415" s="76" t="s">
        <v>1617</v>
      </c>
      <c r="F1415" s="76" t="s">
        <v>1617</v>
      </c>
      <c r="G1415" s="76">
        <v>0</v>
      </c>
      <c r="H1415" s="76"/>
      <c r="I1415" s="76" t="s">
        <v>1070</v>
      </c>
      <c r="J1415" s="69" t="s">
        <v>1618</v>
      </c>
      <c r="K1415" s="131" t="s">
        <v>61</v>
      </c>
    </row>
    <row r="1416" s="22" customFormat="1" outlineLevel="1" spans="1:11">
      <c r="A1416" s="24"/>
      <c r="B1416" s="60" t="str">
        <f t="shared" si="42"/>
        <v>10A2</v>
      </c>
      <c r="C1416" s="69"/>
      <c r="D1416" s="76"/>
      <c r="E1416" s="76"/>
      <c r="F1416" s="76"/>
      <c r="G1416" s="76"/>
      <c r="H1416" s="76"/>
      <c r="I1416" s="76"/>
      <c r="J1416" s="69"/>
      <c r="K1416" s="76"/>
    </row>
    <row r="1417" s="22" customFormat="1" outlineLevel="1" spans="1:11">
      <c r="A1417" s="24"/>
      <c r="B1417" s="60" t="str">
        <f t="shared" si="42"/>
        <v>10A3</v>
      </c>
      <c r="C1417" s="69"/>
      <c r="D1417" s="76"/>
      <c r="E1417" s="76"/>
      <c r="F1417" s="76"/>
      <c r="G1417" s="76"/>
      <c r="H1417" s="76"/>
      <c r="I1417" s="76"/>
      <c r="J1417" s="69"/>
      <c r="K1417" s="76"/>
    </row>
    <row r="1418" s="22" customFormat="1" outlineLevel="1" spans="1:11">
      <c r="A1418" s="24"/>
      <c r="B1418" s="60" t="str">
        <f t="shared" si="42"/>
        <v>10A4</v>
      </c>
      <c r="C1418" s="69"/>
      <c r="D1418" s="76"/>
      <c r="E1418" s="76"/>
      <c r="F1418" s="76"/>
      <c r="G1418" s="76"/>
      <c r="H1418" s="76"/>
      <c r="I1418" s="76"/>
      <c r="J1418" s="69"/>
      <c r="K1418" s="76"/>
    </row>
    <row r="1419" s="22" customFormat="1" outlineLevel="1" spans="1:11">
      <c r="A1419" s="24"/>
      <c r="B1419" s="60" t="str">
        <f t="shared" si="42"/>
        <v>10A5</v>
      </c>
      <c r="C1419" s="69" t="s">
        <v>1619</v>
      </c>
      <c r="D1419" s="76" t="s">
        <v>89</v>
      </c>
      <c r="E1419" s="76" t="s">
        <v>1617</v>
      </c>
      <c r="F1419" s="76" t="s">
        <v>1617</v>
      </c>
      <c r="G1419" s="76">
        <v>0</v>
      </c>
      <c r="H1419" s="76">
        <v>1</v>
      </c>
      <c r="I1419" s="76" t="s">
        <v>1070</v>
      </c>
      <c r="J1419" s="69"/>
      <c r="K1419" s="76"/>
    </row>
    <row r="1420" s="22" customFormat="1" ht="99.75" outlineLevel="1" spans="1:11">
      <c r="A1420" s="24"/>
      <c r="B1420" s="60" t="str">
        <f t="shared" si="42"/>
        <v>10A6</v>
      </c>
      <c r="C1420" s="69" t="s">
        <v>1620</v>
      </c>
      <c r="D1420" s="76" t="s">
        <v>89</v>
      </c>
      <c r="E1420" s="76" t="s">
        <v>1617</v>
      </c>
      <c r="F1420" s="76" t="s">
        <v>1617</v>
      </c>
      <c r="G1420" s="76">
        <v>0</v>
      </c>
      <c r="H1420" s="76">
        <v>65535</v>
      </c>
      <c r="I1420" s="76" t="s">
        <v>1070</v>
      </c>
      <c r="J1420" s="69" t="s">
        <v>1621</v>
      </c>
      <c r="K1420" s="76"/>
    </row>
    <row r="1421" s="22" customFormat="1" outlineLevel="1" spans="1:11">
      <c r="A1421" s="24"/>
      <c r="B1421" s="60" t="str">
        <f t="shared" si="42"/>
        <v>10A7</v>
      </c>
      <c r="C1421" s="69"/>
      <c r="D1421" s="76"/>
      <c r="E1421" s="76"/>
      <c r="F1421" s="76"/>
      <c r="G1421" s="76"/>
      <c r="H1421" s="76"/>
      <c r="I1421" s="76"/>
      <c r="J1421" s="69"/>
      <c r="K1421" s="76"/>
    </row>
    <row r="1422" s="22" customFormat="1" outlineLevel="1" spans="1:11">
      <c r="A1422" s="24"/>
      <c r="B1422" s="60" t="str">
        <f t="shared" si="42"/>
        <v>10A8</v>
      </c>
      <c r="C1422" s="69"/>
      <c r="D1422" s="76"/>
      <c r="E1422" s="76"/>
      <c r="F1422" s="76"/>
      <c r="G1422" s="76"/>
      <c r="H1422" s="76"/>
      <c r="I1422" s="76"/>
      <c r="J1422" s="69"/>
      <c r="K1422" s="76"/>
    </row>
    <row r="1423" s="22" customFormat="1" outlineLevel="1" spans="1:11">
      <c r="A1423" s="24"/>
      <c r="B1423" s="60" t="str">
        <f t="shared" si="42"/>
        <v>10A9</v>
      </c>
      <c r="C1423" s="69"/>
      <c r="D1423" s="76"/>
      <c r="E1423" s="76"/>
      <c r="F1423" s="76"/>
      <c r="G1423" s="76"/>
      <c r="H1423" s="76"/>
      <c r="I1423" s="76"/>
      <c r="J1423" s="69"/>
      <c r="K1423" s="76"/>
    </row>
    <row r="1424" s="22" customFormat="1" outlineLevel="1" spans="1:11">
      <c r="A1424" s="24"/>
      <c r="B1424" s="60" t="str">
        <f t="shared" si="42"/>
        <v>10AA</v>
      </c>
      <c r="C1424" s="69"/>
      <c r="D1424" s="76"/>
      <c r="E1424" s="76"/>
      <c r="F1424" s="76"/>
      <c r="G1424" s="76"/>
      <c r="H1424" s="76"/>
      <c r="I1424" s="76"/>
      <c r="J1424" s="69"/>
      <c r="K1424" s="76"/>
    </row>
    <row r="1425" s="22" customFormat="1" outlineLevel="1" spans="1:11">
      <c r="A1425" s="24"/>
      <c r="B1425" s="60" t="str">
        <f t="shared" si="42"/>
        <v>10AB</v>
      </c>
      <c r="C1425" s="69"/>
      <c r="D1425" s="76"/>
      <c r="E1425" s="76"/>
      <c r="F1425" s="76"/>
      <c r="G1425" s="76"/>
      <c r="H1425" s="76"/>
      <c r="I1425" s="76"/>
      <c r="J1425" s="69"/>
      <c r="K1425" s="76"/>
    </row>
    <row r="1426" s="22" customFormat="1" outlineLevel="1" spans="1:11">
      <c r="A1426" s="24"/>
      <c r="B1426" s="60" t="str">
        <f t="shared" si="42"/>
        <v>10AC</v>
      </c>
      <c r="C1426" s="69"/>
      <c r="D1426" s="76"/>
      <c r="E1426" s="76"/>
      <c r="F1426" s="76"/>
      <c r="G1426" s="76"/>
      <c r="H1426" s="76"/>
      <c r="I1426" s="76"/>
      <c r="J1426" s="69"/>
      <c r="K1426" s="76"/>
    </row>
    <row r="1427" s="22" customFormat="1" outlineLevel="1" spans="1:11">
      <c r="A1427" s="24"/>
      <c r="B1427" s="60" t="str">
        <f t="shared" si="42"/>
        <v>10AD</v>
      </c>
      <c r="C1427" s="69"/>
      <c r="D1427" s="76"/>
      <c r="E1427" s="76"/>
      <c r="F1427" s="76"/>
      <c r="G1427" s="76"/>
      <c r="H1427" s="76"/>
      <c r="I1427" s="76"/>
      <c r="J1427" s="69"/>
      <c r="K1427" s="76"/>
    </row>
    <row r="1428" s="22" customFormat="1" outlineLevel="1" spans="1:11">
      <c r="A1428" s="24"/>
      <c r="B1428" s="60" t="str">
        <f t="shared" si="42"/>
        <v>10AE</v>
      </c>
      <c r="C1428" s="69"/>
      <c r="D1428" s="76"/>
      <c r="E1428" s="76"/>
      <c r="F1428" s="76"/>
      <c r="G1428" s="76"/>
      <c r="H1428" s="76"/>
      <c r="I1428" s="76"/>
      <c r="J1428" s="69"/>
      <c r="K1428" s="76"/>
    </row>
    <row r="1429" s="22" customFormat="1" outlineLevel="1" spans="1:11">
      <c r="A1429" s="24"/>
      <c r="B1429" s="60" t="str">
        <f t="shared" si="42"/>
        <v>10AF</v>
      </c>
      <c r="C1429" s="69"/>
      <c r="D1429" s="76"/>
      <c r="E1429" s="76"/>
      <c r="F1429" s="76"/>
      <c r="G1429" s="76"/>
      <c r="H1429" s="76"/>
      <c r="I1429" s="76"/>
      <c r="J1429" s="69"/>
      <c r="K1429" s="76"/>
    </row>
    <row r="1430" s="22" customFormat="1" ht="28.5" outlineLevel="1" spans="1:11">
      <c r="A1430" s="24"/>
      <c r="B1430" s="60" t="str">
        <f t="shared" si="42"/>
        <v>10B0</v>
      </c>
      <c r="C1430" s="129" t="s">
        <v>1622</v>
      </c>
      <c r="D1430" s="130" t="s">
        <v>89</v>
      </c>
      <c r="E1430" s="130"/>
      <c r="F1430" s="130"/>
      <c r="G1430" s="130">
        <v>0</v>
      </c>
      <c r="H1430" s="130">
        <v>1</v>
      </c>
      <c r="I1430" s="130" t="s">
        <v>1070</v>
      </c>
      <c r="J1430" s="129" t="s">
        <v>1623</v>
      </c>
      <c r="K1430" s="132" t="s">
        <v>61</v>
      </c>
    </row>
    <row r="1431" s="22" customFormat="1" ht="57" outlineLevel="1" spans="1:11">
      <c r="A1431" s="24"/>
      <c r="B1431" s="60" t="str">
        <f t="shared" si="42"/>
        <v>10B1</v>
      </c>
      <c r="C1431" s="69" t="s">
        <v>1624</v>
      </c>
      <c r="D1431" s="76" t="s">
        <v>63</v>
      </c>
      <c r="E1431" s="76">
        <v>1</v>
      </c>
      <c r="F1431" s="76" t="s">
        <v>161</v>
      </c>
      <c r="G1431" s="76">
        <v>0</v>
      </c>
      <c r="H1431" s="76">
        <v>2359</v>
      </c>
      <c r="I1431" s="76" t="s">
        <v>1070</v>
      </c>
      <c r="J1431" s="69" t="s">
        <v>1625</v>
      </c>
      <c r="K1431" s="131" t="s">
        <v>61</v>
      </c>
    </row>
    <row r="1432" s="22" customFormat="1" outlineLevel="1" spans="1:11">
      <c r="A1432" s="24"/>
      <c r="B1432" s="60" t="str">
        <f t="shared" si="42"/>
        <v>10B2</v>
      </c>
      <c r="C1432" s="69" t="s">
        <v>1626</v>
      </c>
      <c r="D1432" s="76" t="s">
        <v>89</v>
      </c>
      <c r="E1432" s="76">
        <v>1</v>
      </c>
      <c r="F1432" s="76" t="s">
        <v>161</v>
      </c>
      <c r="G1432" s="76">
        <v>0</v>
      </c>
      <c r="H1432" s="76">
        <v>65535</v>
      </c>
      <c r="I1432" s="76" t="s">
        <v>1070</v>
      </c>
      <c r="J1432" s="69" t="s">
        <v>1627</v>
      </c>
      <c r="K1432" s="131" t="s">
        <v>61</v>
      </c>
    </row>
    <row r="1433" s="22" customFormat="1" ht="42.75" outlineLevel="1" spans="1:11">
      <c r="A1433" s="24"/>
      <c r="B1433" s="60" t="str">
        <f t="shared" si="42"/>
        <v>10B3</v>
      </c>
      <c r="C1433" s="69" t="s">
        <v>1628</v>
      </c>
      <c r="D1433" s="76" t="s">
        <v>89</v>
      </c>
      <c r="E1433" s="76">
        <v>0.1</v>
      </c>
      <c r="F1433" s="76" t="s">
        <v>44</v>
      </c>
      <c r="G1433" s="76">
        <v>0</v>
      </c>
      <c r="H1433" s="76">
        <v>65535</v>
      </c>
      <c r="I1433" s="76" t="s">
        <v>1070</v>
      </c>
      <c r="J1433" s="69" t="s">
        <v>1629</v>
      </c>
      <c r="K1433" s="131" t="s">
        <v>61</v>
      </c>
    </row>
    <row r="1434" s="22" customFormat="1" ht="28.5" outlineLevel="1" spans="1:11">
      <c r="A1434" s="24"/>
      <c r="B1434" s="60" t="str">
        <f t="shared" si="42"/>
        <v>10B4</v>
      </c>
      <c r="C1434" s="69" t="s">
        <v>1630</v>
      </c>
      <c r="D1434" s="76" t="s">
        <v>89</v>
      </c>
      <c r="E1434" s="76">
        <v>1</v>
      </c>
      <c r="F1434" s="76" t="s">
        <v>161</v>
      </c>
      <c r="G1434" s="76">
        <v>0</v>
      </c>
      <c r="H1434" s="76">
        <v>65535</v>
      </c>
      <c r="I1434" s="76" t="s">
        <v>1070</v>
      </c>
      <c r="J1434" s="69" t="s">
        <v>1631</v>
      </c>
      <c r="K1434" s="131" t="s">
        <v>61</v>
      </c>
    </row>
    <row r="1435" s="22" customFormat="1" outlineLevel="1" spans="1:11">
      <c r="A1435" s="24"/>
      <c r="B1435" s="60" t="str">
        <f t="shared" si="42"/>
        <v>10B5</v>
      </c>
      <c r="C1435" s="67"/>
      <c r="D1435" s="24"/>
      <c r="E1435" s="24"/>
      <c r="F1435" s="24"/>
      <c r="G1435" s="24"/>
      <c r="H1435" s="24"/>
      <c r="I1435" s="24"/>
      <c r="J1435" s="67"/>
      <c r="K1435" s="24"/>
    </row>
    <row r="1436" s="22" customFormat="1" outlineLevel="1" spans="1:11">
      <c r="A1436" s="24"/>
      <c r="B1436" s="60" t="str">
        <f t="shared" si="42"/>
        <v>10B6</v>
      </c>
      <c r="C1436" s="67"/>
      <c r="D1436" s="24"/>
      <c r="E1436" s="24"/>
      <c r="F1436" s="24"/>
      <c r="G1436" s="24"/>
      <c r="H1436" s="24"/>
      <c r="I1436" s="24"/>
      <c r="J1436" s="67"/>
      <c r="K1436" s="24"/>
    </row>
    <row r="1437" s="22" customFormat="1" outlineLevel="1" spans="1:11">
      <c r="A1437" s="24"/>
      <c r="B1437" s="60" t="str">
        <f t="shared" si="42"/>
        <v>10B7</v>
      </c>
      <c r="C1437" s="67"/>
      <c r="D1437" s="24"/>
      <c r="E1437" s="24"/>
      <c r="F1437" s="24"/>
      <c r="G1437" s="24"/>
      <c r="H1437" s="24"/>
      <c r="I1437" s="24"/>
      <c r="J1437" s="67"/>
      <c r="K1437" s="24"/>
    </row>
    <row r="1438" s="22" customFormat="1" outlineLevel="1" spans="1:11">
      <c r="A1438" s="24"/>
      <c r="B1438" s="60" t="str">
        <f t="shared" si="42"/>
        <v>10B8</v>
      </c>
      <c r="C1438" s="67"/>
      <c r="D1438" s="24"/>
      <c r="E1438" s="24"/>
      <c r="F1438" s="24"/>
      <c r="G1438" s="24"/>
      <c r="H1438" s="24"/>
      <c r="I1438" s="24"/>
      <c r="J1438" s="67"/>
      <c r="K1438" s="24"/>
    </row>
    <row r="1439" s="22" customFormat="1" outlineLevel="1" spans="1:11">
      <c r="A1439" s="24"/>
      <c r="B1439" s="60" t="str">
        <f t="shared" si="42"/>
        <v>10B9</v>
      </c>
      <c r="C1439" s="67"/>
      <c r="D1439" s="24"/>
      <c r="E1439" s="24"/>
      <c r="F1439" s="24"/>
      <c r="G1439" s="24"/>
      <c r="H1439" s="24"/>
      <c r="I1439" s="24"/>
      <c r="J1439" s="67"/>
      <c r="K1439" s="24"/>
    </row>
    <row r="1440" s="22" customFormat="1" outlineLevel="1" spans="1:11">
      <c r="A1440" s="24"/>
      <c r="B1440" s="60" t="str">
        <f t="shared" si="42"/>
        <v>10BA</v>
      </c>
      <c r="C1440" s="67"/>
      <c r="D1440" s="24"/>
      <c r="E1440" s="24"/>
      <c r="F1440" s="24"/>
      <c r="G1440" s="24"/>
      <c r="H1440" s="24"/>
      <c r="I1440" s="24"/>
      <c r="J1440" s="67"/>
      <c r="K1440" s="24"/>
    </row>
    <row r="1441" s="22" customFormat="1" outlineLevel="1" spans="1:11">
      <c r="A1441" s="24"/>
      <c r="B1441" s="60" t="str">
        <f t="shared" si="42"/>
        <v>10BB</v>
      </c>
      <c r="C1441" s="67"/>
      <c r="D1441" s="24"/>
      <c r="E1441" s="24"/>
      <c r="F1441" s="24"/>
      <c r="G1441" s="24"/>
      <c r="H1441" s="24"/>
      <c r="I1441" s="24"/>
      <c r="J1441" s="67"/>
      <c r="K1441" s="24"/>
    </row>
    <row r="1442" s="22" customFormat="1" outlineLevel="1" spans="1:11">
      <c r="A1442" s="24"/>
      <c r="B1442" s="60" t="str">
        <f t="shared" si="42"/>
        <v>10BC</v>
      </c>
      <c r="C1442" s="67"/>
      <c r="D1442" s="24"/>
      <c r="E1442" s="24"/>
      <c r="F1442" s="24"/>
      <c r="G1442" s="24"/>
      <c r="H1442" s="24"/>
      <c r="I1442" s="24"/>
      <c r="J1442" s="67"/>
      <c r="K1442" s="24"/>
    </row>
    <row r="1443" s="22" customFormat="1" outlineLevel="1" spans="1:11">
      <c r="A1443" s="24"/>
      <c r="B1443" s="60" t="str">
        <f t="shared" si="42"/>
        <v>10BD</v>
      </c>
      <c r="C1443" s="67"/>
      <c r="D1443" s="24"/>
      <c r="E1443" s="24"/>
      <c r="F1443" s="24"/>
      <c r="G1443" s="24"/>
      <c r="H1443" s="24"/>
      <c r="I1443" s="24"/>
      <c r="J1443" s="67"/>
      <c r="K1443" s="24"/>
    </row>
    <row r="1444" s="22" customFormat="1" outlineLevel="1" spans="1:11">
      <c r="A1444" s="24"/>
      <c r="B1444" s="60" t="str">
        <f t="shared" si="42"/>
        <v>10BE</v>
      </c>
      <c r="C1444" s="67"/>
      <c r="D1444" s="24"/>
      <c r="E1444" s="24"/>
      <c r="F1444" s="24"/>
      <c r="G1444" s="24"/>
      <c r="H1444" s="24"/>
      <c r="I1444" s="24"/>
      <c r="J1444" s="67"/>
      <c r="K1444" s="24"/>
    </row>
    <row r="1445" s="22" customFormat="1" outlineLevel="1" spans="1:11">
      <c r="A1445" s="24"/>
      <c r="B1445" s="60" t="str">
        <f t="shared" si="42"/>
        <v>10BF</v>
      </c>
      <c r="C1445" s="67"/>
      <c r="D1445" s="24"/>
      <c r="E1445" s="24"/>
      <c r="F1445" s="24"/>
      <c r="G1445" s="24"/>
      <c r="H1445" s="24"/>
      <c r="I1445" s="24"/>
      <c r="J1445" s="67"/>
      <c r="K1445" s="24"/>
    </row>
    <row r="1446" s="22" customFormat="1" outlineLevel="1" spans="1:11">
      <c r="A1446" s="24"/>
      <c r="B1446" s="60" t="str">
        <f t="shared" si="42"/>
        <v>10C0</v>
      </c>
      <c r="C1446" s="67"/>
      <c r="D1446" s="24"/>
      <c r="E1446" s="24"/>
      <c r="F1446" s="24"/>
      <c r="G1446" s="24"/>
      <c r="H1446" s="24"/>
      <c r="I1446" s="24"/>
      <c r="J1446" s="67"/>
      <c r="K1446" s="24"/>
    </row>
    <row r="1447" s="22" customFormat="1" outlineLevel="1" spans="1:11">
      <c r="A1447" s="24"/>
      <c r="B1447" s="60" t="str">
        <f t="shared" si="42"/>
        <v>10C1</v>
      </c>
      <c r="C1447" s="67"/>
      <c r="D1447" s="24"/>
      <c r="E1447" s="24"/>
      <c r="F1447" s="24"/>
      <c r="G1447" s="24"/>
      <c r="H1447" s="24"/>
      <c r="I1447" s="24"/>
      <c r="J1447" s="67"/>
      <c r="K1447" s="24"/>
    </row>
    <row r="1448" s="22" customFormat="1" outlineLevel="1" spans="1:11">
      <c r="A1448" s="24"/>
      <c r="B1448" s="60" t="str">
        <f t="shared" ref="B1448:B1509" si="43">DEC2HEX(4096+ROW()-ROW($B$1254),4)</f>
        <v>10C2</v>
      </c>
      <c r="C1448" s="67"/>
      <c r="D1448" s="24"/>
      <c r="E1448" s="24"/>
      <c r="F1448" s="24"/>
      <c r="G1448" s="24"/>
      <c r="H1448" s="24"/>
      <c r="I1448" s="24"/>
      <c r="J1448" s="67"/>
      <c r="K1448" s="24"/>
    </row>
    <row r="1449" s="22" customFormat="1" outlineLevel="1" spans="1:11">
      <c r="A1449" s="24"/>
      <c r="B1449" s="60" t="str">
        <f t="shared" si="43"/>
        <v>10C3</v>
      </c>
      <c r="C1449" s="67"/>
      <c r="D1449" s="24"/>
      <c r="E1449" s="24"/>
      <c r="F1449" s="24"/>
      <c r="G1449" s="24"/>
      <c r="H1449" s="24"/>
      <c r="I1449" s="24"/>
      <c r="J1449" s="67"/>
      <c r="K1449" s="24"/>
    </row>
    <row r="1450" s="22" customFormat="1" outlineLevel="1" spans="1:11">
      <c r="A1450" s="24"/>
      <c r="B1450" s="60" t="str">
        <f t="shared" si="43"/>
        <v>10C4</v>
      </c>
      <c r="C1450" s="67"/>
      <c r="D1450" s="24"/>
      <c r="E1450" s="24"/>
      <c r="F1450" s="24"/>
      <c r="G1450" s="24"/>
      <c r="H1450" s="24"/>
      <c r="I1450" s="24"/>
      <c r="J1450" s="67"/>
      <c r="K1450" s="24"/>
    </row>
    <row r="1451" s="22" customFormat="1" outlineLevel="1" spans="1:11">
      <c r="A1451" s="24"/>
      <c r="B1451" s="60" t="str">
        <f t="shared" si="43"/>
        <v>10C5</v>
      </c>
      <c r="C1451" s="67"/>
      <c r="D1451" s="24"/>
      <c r="E1451" s="24"/>
      <c r="F1451" s="24"/>
      <c r="G1451" s="24"/>
      <c r="H1451" s="24"/>
      <c r="I1451" s="24"/>
      <c r="J1451" s="67"/>
      <c r="K1451" s="24"/>
    </row>
    <row r="1452" s="22" customFormat="1" outlineLevel="1" spans="1:11">
      <c r="A1452" s="24"/>
      <c r="B1452" s="60" t="str">
        <f t="shared" si="43"/>
        <v>10C6</v>
      </c>
      <c r="C1452" s="67"/>
      <c r="D1452" s="24"/>
      <c r="E1452" s="24"/>
      <c r="F1452" s="24"/>
      <c r="G1452" s="24"/>
      <c r="H1452" s="24"/>
      <c r="I1452" s="24"/>
      <c r="J1452" s="67"/>
      <c r="K1452" s="24"/>
    </row>
    <row r="1453" s="22" customFormat="1" outlineLevel="1" spans="1:11">
      <c r="A1453" s="24"/>
      <c r="B1453" s="60" t="str">
        <f t="shared" si="43"/>
        <v>10C7</v>
      </c>
      <c r="C1453" s="67"/>
      <c r="D1453" s="24"/>
      <c r="E1453" s="24"/>
      <c r="F1453" s="24"/>
      <c r="G1453" s="24"/>
      <c r="H1453" s="24"/>
      <c r="I1453" s="24"/>
      <c r="J1453" s="67"/>
      <c r="K1453" s="24"/>
    </row>
    <row r="1454" s="22" customFormat="1" outlineLevel="1" spans="1:11">
      <c r="A1454" s="24"/>
      <c r="B1454" s="60" t="str">
        <f t="shared" si="43"/>
        <v>10C8</v>
      </c>
      <c r="C1454" s="67"/>
      <c r="D1454" s="24"/>
      <c r="E1454" s="24"/>
      <c r="F1454" s="24"/>
      <c r="G1454" s="24"/>
      <c r="H1454" s="24"/>
      <c r="I1454" s="24"/>
      <c r="J1454" s="67"/>
      <c r="K1454" s="24"/>
    </row>
    <row r="1455" s="22" customFormat="1" outlineLevel="1" spans="1:11">
      <c r="A1455" s="24"/>
      <c r="B1455" s="60" t="str">
        <f t="shared" si="43"/>
        <v>10C9</v>
      </c>
      <c r="C1455" s="67"/>
      <c r="D1455" s="24"/>
      <c r="E1455" s="24"/>
      <c r="F1455" s="24"/>
      <c r="G1455" s="24"/>
      <c r="H1455" s="24"/>
      <c r="I1455" s="24"/>
      <c r="J1455" s="67"/>
      <c r="K1455" s="24"/>
    </row>
    <row r="1456" s="22" customFormat="1" outlineLevel="1" spans="1:11">
      <c r="A1456" s="24"/>
      <c r="B1456" s="60" t="str">
        <f t="shared" si="43"/>
        <v>10CA</v>
      </c>
      <c r="C1456" s="67"/>
      <c r="D1456" s="24"/>
      <c r="E1456" s="24"/>
      <c r="F1456" s="24"/>
      <c r="G1456" s="24"/>
      <c r="H1456" s="24"/>
      <c r="I1456" s="24"/>
      <c r="J1456" s="67"/>
      <c r="K1456" s="24"/>
    </row>
    <row r="1457" s="22" customFormat="1" outlineLevel="1" spans="1:11">
      <c r="A1457" s="24"/>
      <c r="B1457" s="60" t="str">
        <f t="shared" si="43"/>
        <v>10CB</v>
      </c>
      <c r="C1457" s="67"/>
      <c r="D1457" s="24"/>
      <c r="E1457" s="24"/>
      <c r="F1457" s="24"/>
      <c r="G1457" s="24"/>
      <c r="H1457" s="24"/>
      <c r="I1457" s="24"/>
      <c r="J1457" s="67"/>
      <c r="K1457" s="24"/>
    </row>
    <row r="1458" s="22" customFormat="1" outlineLevel="1" spans="1:11">
      <c r="A1458" s="24"/>
      <c r="B1458" s="60" t="str">
        <f t="shared" si="43"/>
        <v>10CC</v>
      </c>
      <c r="C1458" s="67"/>
      <c r="D1458" s="24"/>
      <c r="E1458" s="24"/>
      <c r="F1458" s="24"/>
      <c r="G1458" s="24"/>
      <c r="H1458" s="24"/>
      <c r="I1458" s="24"/>
      <c r="J1458" s="67"/>
      <c r="K1458" s="24"/>
    </row>
    <row r="1459" s="22" customFormat="1" outlineLevel="1" spans="1:11">
      <c r="A1459" s="24"/>
      <c r="B1459" s="60" t="str">
        <f t="shared" si="43"/>
        <v>10CD</v>
      </c>
      <c r="C1459" s="67"/>
      <c r="D1459" s="24"/>
      <c r="E1459" s="24"/>
      <c r="F1459" s="24"/>
      <c r="G1459" s="24"/>
      <c r="H1459" s="24"/>
      <c r="I1459" s="24"/>
      <c r="J1459" s="67"/>
      <c r="K1459" s="24"/>
    </row>
    <row r="1460" s="22" customFormat="1" outlineLevel="1" spans="1:11">
      <c r="A1460" s="24"/>
      <c r="B1460" s="60" t="str">
        <f t="shared" si="43"/>
        <v>10CE</v>
      </c>
      <c r="C1460" s="67"/>
      <c r="D1460" s="24"/>
      <c r="E1460" s="24"/>
      <c r="F1460" s="24"/>
      <c r="G1460" s="24"/>
      <c r="H1460" s="24"/>
      <c r="I1460" s="24"/>
      <c r="J1460" s="67"/>
      <c r="K1460" s="24"/>
    </row>
    <row r="1461" s="22" customFormat="1" outlineLevel="1" spans="1:11">
      <c r="A1461" s="24"/>
      <c r="B1461" s="60" t="str">
        <f t="shared" si="43"/>
        <v>10CF</v>
      </c>
      <c r="C1461" s="67"/>
      <c r="D1461" s="24"/>
      <c r="E1461" s="24"/>
      <c r="F1461" s="24"/>
      <c r="G1461" s="24"/>
      <c r="H1461" s="24"/>
      <c r="I1461" s="24"/>
      <c r="J1461" s="67"/>
      <c r="K1461" s="24"/>
    </row>
    <row r="1462" s="22" customFormat="1" outlineLevel="1" spans="1:11">
      <c r="A1462" s="24"/>
      <c r="B1462" s="60" t="str">
        <f t="shared" si="43"/>
        <v>10D0</v>
      </c>
      <c r="C1462" s="67"/>
      <c r="D1462" s="24"/>
      <c r="E1462" s="24"/>
      <c r="F1462" s="24"/>
      <c r="G1462" s="24"/>
      <c r="H1462" s="24"/>
      <c r="I1462" s="24"/>
      <c r="J1462" s="67"/>
      <c r="K1462" s="24"/>
    </row>
    <row r="1463" s="22" customFormat="1" outlineLevel="1" spans="1:11">
      <c r="A1463" s="24"/>
      <c r="B1463" s="60" t="str">
        <f t="shared" si="43"/>
        <v>10D1</v>
      </c>
      <c r="C1463" s="67"/>
      <c r="D1463" s="24"/>
      <c r="E1463" s="24"/>
      <c r="F1463" s="24"/>
      <c r="G1463" s="24"/>
      <c r="H1463" s="24"/>
      <c r="I1463" s="24"/>
      <c r="J1463" s="67"/>
      <c r="K1463" s="24"/>
    </row>
    <row r="1464" s="22" customFormat="1" outlineLevel="1" spans="1:11">
      <c r="A1464" s="24"/>
      <c r="B1464" s="60" t="str">
        <f t="shared" si="43"/>
        <v>10D2</v>
      </c>
      <c r="C1464" s="67"/>
      <c r="D1464" s="24"/>
      <c r="E1464" s="24"/>
      <c r="F1464" s="24"/>
      <c r="G1464" s="24"/>
      <c r="H1464" s="24"/>
      <c r="I1464" s="24"/>
      <c r="J1464" s="67"/>
      <c r="K1464" s="24"/>
    </row>
    <row r="1465" s="22" customFormat="1" outlineLevel="1" spans="1:11">
      <c r="A1465" s="24"/>
      <c r="B1465" s="60" t="str">
        <f t="shared" si="43"/>
        <v>10D3</v>
      </c>
      <c r="C1465" s="67"/>
      <c r="D1465" s="24"/>
      <c r="E1465" s="24"/>
      <c r="F1465" s="24"/>
      <c r="G1465" s="24"/>
      <c r="H1465" s="24"/>
      <c r="I1465" s="24"/>
      <c r="J1465" s="67"/>
      <c r="K1465" s="24"/>
    </row>
    <row r="1466" s="22" customFormat="1" outlineLevel="1" spans="1:11">
      <c r="A1466" s="24"/>
      <c r="B1466" s="60" t="str">
        <f t="shared" si="43"/>
        <v>10D4</v>
      </c>
      <c r="C1466" s="67"/>
      <c r="D1466" s="24"/>
      <c r="E1466" s="24"/>
      <c r="F1466" s="24"/>
      <c r="G1466" s="24"/>
      <c r="H1466" s="24"/>
      <c r="I1466" s="24"/>
      <c r="J1466" s="67"/>
      <c r="K1466" s="24"/>
    </row>
    <row r="1467" s="22" customFormat="1" outlineLevel="1" spans="1:11">
      <c r="A1467" s="24"/>
      <c r="B1467" s="60" t="str">
        <f t="shared" si="43"/>
        <v>10D5</v>
      </c>
      <c r="C1467" s="67"/>
      <c r="D1467" s="24"/>
      <c r="E1467" s="24"/>
      <c r="F1467" s="24"/>
      <c r="G1467" s="24"/>
      <c r="H1467" s="24"/>
      <c r="I1467" s="24"/>
      <c r="J1467" s="67"/>
      <c r="K1467" s="24"/>
    </row>
    <row r="1468" s="22" customFormat="1" outlineLevel="1" spans="1:11">
      <c r="A1468" s="24"/>
      <c r="B1468" s="60" t="str">
        <f t="shared" si="43"/>
        <v>10D6</v>
      </c>
      <c r="C1468" s="67"/>
      <c r="D1468" s="24"/>
      <c r="E1468" s="24"/>
      <c r="F1468" s="24"/>
      <c r="G1468" s="24"/>
      <c r="H1468" s="24"/>
      <c r="I1468" s="24"/>
      <c r="J1468" s="67"/>
      <c r="K1468" s="24"/>
    </row>
    <row r="1469" s="22" customFormat="1" outlineLevel="1" spans="1:11">
      <c r="A1469" s="24"/>
      <c r="B1469" s="60" t="str">
        <f t="shared" si="43"/>
        <v>10D7</v>
      </c>
      <c r="C1469" s="67"/>
      <c r="D1469" s="24"/>
      <c r="E1469" s="24"/>
      <c r="F1469" s="24"/>
      <c r="G1469" s="24"/>
      <c r="H1469" s="24"/>
      <c r="I1469" s="24"/>
      <c r="J1469" s="67"/>
      <c r="K1469" s="24"/>
    </row>
    <row r="1470" s="22" customFormat="1" outlineLevel="1" spans="1:11">
      <c r="A1470" s="24"/>
      <c r="B1470" s="60" t="str">
        <f t="shared" si="43"/>
        <v>10D8</v>
      </c>
      <c r="C1470" s="67"/>
      <c r="D1470" s="24"/>
      <c r="E1470" s="24"/>
      <c r="F1470" s="24"/>
      <c r="G1470" s="24"/>
      <c r="H1470" s="24"/>
      <c r="I1470" s="24"/>
      <c r="J1470" s="67"/>
      <c r="K1470" s="24"/>
    </row>
    <row r="1471" s="22" customFormat="1" outlineLevel="1" spans="1:11">
      <c r="A1471" s="24"/>
      <c r="B1471" s="60" t="str">
        <f t="shared" si="43"/>
        <v>10D9</v>
      </c>
      <c r="C1471" s="67"/>
      <c r="D1471" s="24"/>
      <c r="E1471" s="24"/>
      <c r="F1471" s="24"/>
      <c r="G1471" s="24"/>
      <c r="H1471" s="24"/>
      <c r="I1471" s="24"/>
      <c r="J1471" s="67"/>
      <c r="K1471" s="24"/>
    </row>
    <row r="1472" s="22" customFormat="1" outlineLevel="1" spans="1:11">
      <c r="A1472" s="24"/>
      <c r="B1472" s="60" t="str">
        <f t="shared" si="43"/>
        <v>10DA</v>
      </c>
      <c r="C1472" s="67"/>
      <c r="D1472" s="24"/>
      <c r="E1472" s="24"/>
      <c r="F1472" s="24"/>
      <c r="G1472" s="24"/>
      <c r="H1472" s="24"/>
      <c r="I1472" s="24"/>
      <c r="J1472" s="67"/>
      <c r="K1472" s="24"/>
    </row>
    <row r="1473" s="22" customFormat="1" outlineLevel="1" spans="1:11">
      <c r="A1473" s="24"/>
      <c r="B1473" s="60" t="str">
        <f t="shared" si="43"/>
        <v>10DB</v>
      </c>
      <c r="C1473" s="67"/>
      <c r="D1473" s="24"/>
      <c r="E1473" s="24"/>
      <c r="F1473" s="24"/>
      <c r="G1473" s="24"/>
      <c r="H1473" s="24"/>
      <c r="I1473" s="24"/>
      <c r="J1473" s="67"/>
      <c r="K1473" s="24"/>
    </row>
    <row r="1474" s="22" customFormat="1" outlineLevel="1" spans="1:11">
      <c r="A1474" s="24"/>
      <c r="B1474" s="60" t="str">
        <f t="shared" si="43"/>
        <v>10DC</v>
      </c>
      <c r="C1474" s="67"/>
      <c r="D1474" s="24"/>
      <c r="E1474" s="24"/>
      <c r="F1474" s="24"/>
      <c r="G1474" s="24"/>
      <c r="H1474" s="24"/>
      <c r="I1474" s="24"/>
      <c r="J1474" s="67"/>
      <c r="K1474" s="24"/>
    </row>
    <row r="1475" s="22" customFormat="1" outlineLevel="1" spans="1:11">
      <c r="A1475" s="24"/>
      <c r="B1475" s="60" t="str">
        <f t="shared" si="43"/>
        <v>10DD</v>
      </c>
      <c r="C1475" s="67"/>
      <c r="D1475" s="24"/>
      <c r="E1475" s="24"/>
      <c r="F1475" s="24"/>
      <c r="G1475" s="24"/>
      <c r="H1475" s="24"/>
      <c r="I1475" s="24"/>
      <c r="J1475" s="67"/>
      <c r="K1475" s="24"/>
    </row>
    <row r="1476" s="22" customFormat="1" outlineLevel="1" spans="1:11">
      <c r="A1476" s="24"/>
      <c r="B1476" s="60" t="str">
        <f t="shared" si="43"/>
        <v>10DE</v>
      </c>
      <c r="C1476" s="67"/>
      <c r="D1476" s="24"/>
      <c r="E1476" s="24"/>
      <c r="F1476" s="24"/>
      <c r="G1476" s="24"/>
      <c r="H1476" s="24"/>
      <c r="I1476" s="24"/>
      <c r="J1476" s="67"/>
      <c r="K1476" s="24"/>
    </row>
    <row r="1477" s="22" customFormat="1" outlineLevel="1" spans="1:11">
      <c r="A1477" s="24"/>
      <c r="B1477" s="60" t="str">
        <f t="shared" si="43"/>
        <v>10DF</v>
      </c>
      <c r="C1477" s="67"/>
      <c r="D1477" s="24"/>
      <c r="E1477" s="24"/>
      <c r="F1477" s="24"/>
      <c r="G1477" s="24"/>
      <c r="H1477" s="24"/>
      <c r="I1477" s="24"/>
      <c r="J1477" s="67"/>
      <c r="K1477" s="24"/>
    </row>
    <row r="1478" s="22" customFormat="1" outlineLevel="1" spans="1:11">
      <c r="A1478" s="24"/>
      <c r="B1478" s="60" t="str">
        <f t="shared" si="43"/>
        <v>10E0</v>
      </c>
      <c r="C1478" s="67"/>
      <c r="D1478" s="24"/>
      <c r="E1478" s="24"/>
      <c r="F1478" s="24"/>
      <c r="G1478" s="24"/>
      <c r="H1478" s="24"/>
      <c r="I1478" s="24"/>
      <c r="J1478" s="67"/>
      <c r="K1478" s="24"/>
    </row>
    <row r="1479" s="22" customFormat="1" outlineLevel="1" spans="1:11">
      <c r="A1479" s="24"/>
      <c r="B1479" s="60" t="str">
        <f t="shared" si="43"/>
        <v>10E1</v>
      </c>
      <c r="C1479" s="67"/>
      <c r="D1479" s="24"/>
      <c r="E1479" s="24"/>
      <c r="F1479" s="24"/>
      <c r="G1479" s="24"/>
      <c r="H1479" s="24"/>
      <c r="I1479" s="24"/>
      <c r="J1479" s="67"/>
      <c r="K1479" s="24"/>
    </row>
    <row r="1480" s="22" customFormat="1" outlineLevel="1" spans="1:11">
      <c r="A1480" s="24"/>
      <c r="B1480" s="60" t="str">
        <f t="shared" si="43"/>
        <v>10E2</v>
      </c>
      <c r="C1480" s="67"/>
      <c r="D1480" s="24"/>
      <c r="E1480" s="24"/>
      <c r="F1480" s="24"/>
      <c r="G1480" s="24"/>
      <c r="H1480" s="24"/>
      <c r="I1480" s="24"/>
      <c r="J1480" s="67"/>
      <c r="K1480" s="24"/>
    </row>
    <row r="1481" s="22" customFormat="1" outlineLevel="1" spans="1:11">
      <c r="A1481" s="24"/>
      <c r="B1481" s="60" t="str">
        <f t="shared" si="43"/>
        <v>10E3</v>
      </c>
      <c r="C1481" s="67"/>
      <c r="D1481" s="24"/>
      <c r="E1481" s="24"/>
      <c r="F1481" s="24"/>
      <c r="G1481" s="24"/>
      <c r="H1481" s="24"/>
      <c r="I1481" s="24"/>
      <c r="J1481" s="67"/>
      <c r="K1481" s="24"/>
    </row>
    <row r="1482" s="22" customFormat="1" outlineLevel="1" spans="1:11">
      <c r="A1482" s="24"/>
      <c r="B1482" s="60" t="str">
        <f t="shared" si="43"/>
        <v>10E4</v>
      </c>
      <c r="C1482" s="67"/>
      <c r="D1482" s="24"/>
      <c r="E1482" s="24"/>
      <c r="F1482" s="24"/>
      <c r="G1482" s="24"/>
      <c r="H1482" s="24"/>
      <c r="I1482" s="24"/>
      <c r="J1482" s="67"/>
      <c r="K1482" s="24"/>
    </row>
    <row r="1483" s="22" customFormat="1" outlineLevel="1" spans="1:11">
      <c r="A1483" s="24"/>
      <c r="B1483" s="60" t="str">
        <f t="shared" si="43"/>
        <v>10E5</v>
      </c>
      <c r="C1483" s="67"/>
      <c r="D1483" s="24"/>
      <c r="E1483" s="24"/>
      <c r="F1483" s="24"/>
      <c r="G1483" s="24"/>
      <c r="H1483" s="24"/>
      <c r="I1483" s="24"/>
      <c r="J1483" s="67"/>
      <c r="K1483" s="24"/>
    </row>
    <row r="1484" s="22" customFormat="1" outlineLevel="1" spans="1:11">
      <c r="A1484" s="24"/>
      <c r="B1484" s="60" t="str">
        <f t="shared" si="43"/>
        <v>10E6</v>
      </c>
      <c r="C1484" s="67"/>
      <c r="D1484" s="24"/>
      <c r="E1484" s="24"/>
      <c r="F1484" s="24"/>
      <c r="G1484" s="24"/>
      <c r="H1484" s="24"/>
      <c r="I1484" s="24"/>
      <c r="J1484" s="67"/>
      <c r="K1484" s="24"/>
    </row>
    <row r="1485" s="22" customFormat="1" outlineLevel="1" spans="1:11">
      <c r="A1485" s="24"/>
      <c r="B1485" s="60" t="str">
        <f t="shared" si="43"/>
        <v>10E7</v>
      </c>
      <c r="C1485" s="67"/>
      <c r="D1485" s="24"/>
      <c r="E1485" s="24"/>
      <c r="F1485" s="24"/>
      <c r="G1485" s="24"/>
      <c r="H1485" s="24"/>
      <c r="I1485" s="24"/>
      <c r="J1485" s="67"/>
      <c r="K1485" s="24"/>
    </row>
    <row r="1486" s="22" customFormat="1" outlineLevel="1" spans="1:11">
      <c r="A1486" s="24"/>
      <c r="B1486" s="60" t="str">
        <f t="shared" si="43"/>
        <v>10E8</v>
      </c>
      <c r="C1486" s="67"/>
      <c r="D1486" s="24"/>
      <c r="E1486" s="24"/>
      <c r="F1486" s="24"/>
      <c r="G1486" s="24"/>
      <c r="H1486" s="24"/>
      <c r="I1486" s="24"/>
      <c r="J1486" s="67"/>
      <c r="K1486" s="24"/>
    </row>
    <row r="1487" s="22" customFormat="1" outlineLevel="1" spans="1:11">
      <c r="A1487" s="24"/>
      <c r="B1487" s="60" t="str">
        <f t="shared" si="43"/>
        <v>10E9</v>
      </c>
      <c r="C1487" s="67"/>
      <c r="D1487" s="24"/>
      <c r="E1487" s="24"/>
      <c r="F1487" s="24"/>
      <c r="G1487" s="24"/>
      <c r="H1487" s="24"/>
      <c r="I1487" s="24"/>
      <c r="J1487" s="67"/>
      <c r="K1487" s="24"/>
    </row>
    <row r="1488" s="22" customFormat="1" outlineLevel="1" spans="1:11">
      <c r="A1488" s="24"/>
      <c r="B1488" s="60" t="str">
        <f t="shared" si="43"/>
        <v>10EA</v>
      </c>
      <c r="C1488" s="67"/>
      <c r="D1488" s="24"/>
      <c r="E1488" s="24"/>
      <c r="F1488" s="24"/>
      <c r="G1488" s="24"/>
      <c r="H1488" s="24"/>
      <c r="I1488" s="24"/>
      <c r="J1488" s="67"/>
      <c r="K1488" s="24"/>
    </row>
    <row r="1489" s="22" customFormat="1" outlineLevel="1" spans="1:11">
      <c r="A1489" s="24"/>
      <c r="B1489" s="60" t="str">
        <f t="shared" si="43"/>
        <v>10EB</v>
      </c>
      <c r="C1489" s="67"/>
      <c r="D1489" s="24"/>
      <c r="E1489" s="24"/>
      <c r="F1489" s="24"/>
      <c r="G1489" s="24"/>
      <c r="H1489" s="24"/>
      <c r="I1489" s="24"/>
      <c r="J1489" s="67"/>
      <c r="K1489" s="24"/>
    </row>
    <row r="1490" s="22" customFormat="1" outlineLevel="1" spans="1:11">
      <c r="A1490" s="24"/>
      <c r="B1490" s="60" t="str">
        <f t="shared" si="43"/>
        <v>10EC</v>
      </c>
      <c r="C1490" s="67"/>
      <c r="D1490" s="24"/>
      <c r="E1490" s="24"/>
      <c r="F1490" s="24"/>
      <c r="G1490" s="24"/>
      <c r="H1490" s="24"/>
      <c r="I1490" s="24"/>
      <c r="J1490" s="67"/>
      <c r="K1490" s="24"/>
    </row>
    <row r="1491" s="22" customFormat="1" outlineLevel="1" spans="1:11">
      <c r="A1491" s="24"/>
      <c r="B1491" s="60" t="str">
        <f t="shared" si="43"/>
        <v>10ED</v>
      </c>
      <c r="C1491" s="67"/>
      <c r="D1491" s="24"/>
      <c r="E1491" s="24"/>
      <c r="F1491" s="24"/>
      <c r="G1491" s="24"/>
      <c r="H1491" s="24"/>
      <c r="I1491" s="24"/>
      <c r="J1491" s="67"/>
      <c r="K1491" s="24"/>
    </row>
    <row r="1492" s="22" customFormat="1" outlineLevel="1" spans="1:11">
      <c r="A1492" s="24"/>
      <c r="B1492" s="60" t="str">
        <f t="shared" si="43"/>
        <v>10EE</v>
      </c>
      <c r="C1492" s="67"/>
      <c r="D1492" s="24"/>
      <c r="E1492" s="24"/>
      <c r="F1492" s="24"/>
      <c r="G1492" s="24"/>
      <c r="H1492" s="24"/>
      <c r="I1492" s="24"/>
      <c r="J1492" s="67"/>
      <c r="K1492" s="24"/>
    </row>
    <row r="1493" s="22" customFormat="1" outlineLevel="1" spans="1:11">
      <c r="A1493" s="24"/>
      <c r="B1493" s="60" t="str">
        <f t="shared" si="43"/>
        <v>10EF</v>
      </c>
      <c r="C1493" s="67"/>
      <c r="D1493" s="24"/>
      <c r="E1493" s="24"/>
      <c r="F1493" s="24"/>
      <c r="G1493" s="24"/>
      <c r="H1493" s="24"/>
      <c r="I1493" s="24"/>
      <c r="J1493" s="67"/>
      <c r="K1493" s="24"/>
    </row>
    <row r="1494" s="22" customFormat="1" outlineLevel="1" spans="1:11">
      <c r="A1494" s="24"/>
      <c r="B1494" s="60" t="str">
        <f t="shared" si="43"/>
        <v>10F0</v>
      </c>
      <c r="C1494" s="67"/>
      <c r="D1494" s="24"/>
      <c r="E1494" s="24"/>
      <c r="F1494" s="24"/>
      <c r="G1494" s="24"/>
      <c r="H1494" s="24"/>
      <c r="I1494" s="24"/>
      <c r="J1494" s="67"/>
      <c r="K1494" s="24"/>
    </row>
    <row r="1495" s="22" customFormat="1" outlineLevel="1" spans="1:11">
      <c r="A1495" s="24"/>
      <c r="B1495" s="60" t="str">
        <f t="shared" si="43"/>
        <v>10F1</v>
      </c>
      <c r="C1495" s="67"/>
      <c r="D1495" s="24"/>
      <c r="E1495" s="24"/>
      <c r="F1495" s="24"/>
      <c r="G1495" s="24"/>
      <c r="H1495" s="24"/>
      <c r="I1495" s="24"/>
      <c r="J1495" s="67"/>
      <c r="K1495" s="24"/>
    </row>
    <row r="1496" s="22" customFormat="1" outlineLevel="1" spans="1:11">
      <c r="A1496" s="24"/>
      <c r="B1496" s="60" t="str">
        <f t="shared" si="43"/>
        <v>10F2</v>
      </c>
      <c r="C1496" s="67"/>
      <c r="D1496" s="24"/>
      <c r="E1496" s="24"/>
      <c r="F1496" s="24"/>
      <c r="G1496" s="24"/>
      <c r="H1496" s="24"/>
      <c r="I1496" s="24"/>
      <c r="J1496" s="67"/>
      <c r="K1496" s="24"/>
    </row>
    <row r="1497" s="22" customFormat="1" outlineLevel="1" spans="1:11">
      <c r="A1497" s="24"/>
      <c r="B1497" s="60" t="str">
        <f t="shared" si="43"/>
        <v>10F3</v>
      </c>
      <c r="C1497" s="67"/>
      <c r="D1497" s="24"/>
      <c r="E1497" s="24"/>
      <c r="F1497" s="24"/>
      <c r="G1497" s="24"/>
      <c r="H1497" s="24"/>
      <c r="I1497" s="24"/>
      <c r="J1497" s="67"/>
      <c r="K1497" s="24"/>
    </row>
    <row r="1498" s="22" customFormat="1" outlineLevel="1" spans="1:11">
      <c r="A1498" s="24"/>
      <c r="B1498" s="60" t="str">
        <f t="shared" si="43"/>
        <v>10F4</v>
      </c>
      <c r="C1498" s="67"/>
      <c r="D1498" s="24"/>
      <c r="E1498" s="24"/>
      <c r="F1498" s="24"/>
      <c r="G1498" s="24"/>
      <c r="H1498" s="24"/>
      <c r="I1498" s="24"/>
      <c r="J1498" s="67"/>
      <c r="K1498" s="24"/>
    </row>
    <row r="1499" s="22" customFormat="1" outlineLevel="1" spans="1:11">
      <c r="A1499" s="24"/>
      <c r="B1499" s="60" t="str">
        <f t="shared" si="43"/>
        <v>10F5</v>
      </c>
      <c r="C1499" s="67"/>
      <c r="D1499" s="24"/>
      <c r="E1499" s="24"/>
      <c r="F1499" s="24"/>
      <c r="G1499" s="24"/>
      <c r="H1499" s="24"/>
      <c r="I1499" s="24"/>
      <c r="J1499" s="67"/>
      <c r="K1499" s="24"/>
    </row>
    <row r="1500" s="22" customFormat="1" outlineLevel="1" spans="1:11">
      <c r="A1500" s="24"/>
      <c r="B1500" s="60" t="str">
        <f t="shared" si="43"/>
        <v>10F6</v>
      </c>
      <c r="C1500" s="67"/>
      <c r="D1500" s="24"/>
      <c r="E1500" s="24"/>
      <c r="F1500" s="24"/>
      <c r="G1500" s="24"/>
      <c r="H1500" s="24"/>
      <c r="I1500" s="24"/>
      <c r="J1500" s="67"/>
      <c r="K1500" s="24"/>
    </row>
    <row r="1501" s="22" customFormat="1" outlineLevel="1" spans="1:11">
      <c r="A1501" s="24"/>
      <c r="B1501" s="60" t="str">
        <f t="shared" si="43"/>
        <v>10F7</v>
      </c>
      <c r="C1501" s="67"/>
      <c r="D1501" s="24"/>
      <c r="E1501" s="24"/>
      <c r="F1501" s="24"/>
      <c r="G1501" s="24"/>
      <c r="H1501" s="24"/>
      <c r="I1501" s="24"/>
      <c r="J1501" s="67"/>
      <c r="K1501" s="24"/>
    </row>
    <row r="1502" s="22" customFormat="1" outlineLevel="1" spans="1:11">
      <c r="A1502" s="24"/>
      <c r="B1502" s="60" t="str">
        <f t="shared" si="43"/>
        <v>10F8</v>
      </c>
      <c r="C1502" s="67"/>
      <c r="D1502" s="24"/>
      <c r="E1502" s="24"/>
      <c r="F1502" s="24"/>
      <c r="G1502" s="24"/>
      <c r="H1502" s="24"/>
      <c r="I1502" s="24"/>
      <c r="J1502" s="67"/>
      <c r="K1502" s="24"/>
    </row>
    <row r="1503" s="22" customFormat="1" outlineLevel="1" spans="1:11">
      <c r="A1503" s="24"/>
      <c r="B1503" s="60" t="str">
        <f t="shared" si="43"/>
        <v>10F9</v>
      </c>
      <c r="C1503" s="67"/>
      <c r="D1503" s="24"/>
      <c r="E1503" s="24"/>
      <c r="F1503" s="24"/>
      <c r="G1503" s="24"/>
      <c r="H1503" s="24"/>
      <c r="I1503" s="24"/>
      <c r="J1503" s="67"/>
      <c r="K1503" s="24"/>
    </row>
    <row r="1504" s="22" customFormat="1" outlineLevel="1" spans="1:11">
      <c r="A1504" s="24"/>
      <c r="B1504" s="60" t="str">
        <f t="shared" si="43"/>
        <v>10FA</v>
      </c>
      <c r="C1504" s="67"/>
      <c r="D1504" s="24"/>
      <c r="E1504" s="24"/>
      <c r="F1504" s="24"/>
      <c r="G1504" s="24"/>
      <c r="H1504" s="24"/>
      <c r="I1504" s="24"/>
      <c r="J1504" s="67"/>
      <c r="K1504" s="24"/>
    </row>
    <row r="1505" s="22" customFormat="1" outlineLevel="1" spans="1:11">
      <c r="A1505" s="24"/>
      <c r="B1505" s="60" t="str">
        <f t="shared" si="43"/>
        <v>10FB</v>
      </c>
      <c r="C1505" s="67"/>
      <c r="D1505" s="24"/>
      <c r="E1505" s="24"/>
      <c r="F1505" s="24"/>
      <c r="G1505" s="24"/>
      <c r="H1505" s="24"/>
      <c r="I1505" s="24"/>
      <c r="J1505" s="67"/>
      <c r="K1505" s="24"/>
    </row>
    <row r="1506" s="22" customFormat="1" outlineLevel="1" spans="1:11">
      <c r="A1506" s="24"/>
      <c r="B1506" s="60" t="str">
        <f t="shared" si="43"/>
        <v>10FC</v>
      </c>
      <c r="C1506" s="67"/>
      <c r="D1506" s="24"/>
      <c r="E1506" s="24"/>
      <c r="F1506" s="24"/>
      <c r="G1506" s="24"/>
      <c r="H1506" s="24"/>
      <c r="I1506" s="24"/>
      <c r="J1506" s="67"/>
      <c r="K1506" s="24"/>
    </row>
    <row r="1507" s="22" customFormat="1" outlineLevel="1" spans="1:11">
      <c r="A1507" s="24"/>
      <c r="B1507" s="60" t="str">
        <f t="shared" si="43"/>
        <v>10FD</v>
      </c>
      <c r="C1507" s="67"/>
      <c r="D1507" s="24"/>
      <c r="E1507" s="24"/>
      <c r="F1507" s="24"/>
      <c r="G1507" s="24"/>
      <c r="H1507" s="24"/>
      <c r="I1507" s="24"/>
      <c r="J1507" s="67"/>
      <c r="K1507" s="24"/>
    </row>
    <row r="1508" s="22" customFormat="1" outlineLevel="1" spans="1:11">
      <c r="A1508" s="24"/>
      <c r="B1508" s="60" t="str">
        <f t="shared" si="43"/>
        <v>10FE</v>
      </c>
      <c r="C1508" s="67"/>
      <c r="D1508" s="24"/>
      <c r="E1508" s="24"/>
      <c r="F1508" s="24"/>
      <c r="G1508" s="24"/>
      <c r="H1508" s="24"/>
      <c r="I1508" s="24"/>
      <c r="J1508" s="67"/>
      <c r="K1508" s="24"/>
    </row>
    <row r="1509" outlineLevel="1" spans="1:11">
      <c r="A1509" s="24"/>
      <c r="B1509" s="60" t="str">
        <f t="shared" si="43"/>
        <v>10FF</v>
      </c>
      <c r="C1509" s="67"/>
      <c r="D1509" s="24"/>
      <c r="E1509" s="24"/>
      <c r="F1509" s="24"/>
      <c r="G1509" s="24"/>
      <c r="H1509" s="24"/>
      <c r="I1509" s="24"/>
      <c r="J1509" s="67"/>
      <c r="K1509" s="24"/>
    </row>
    <row r="1510" spans="1:11">
      <c r="A1510" s="24"/>
      <c r="B1510" s="81"/>
      <c r="C1510" s="67"/>
      <c r="D1510" s="24"/>
      <c r="E1510" s="24"/>
      <c r="F1510" s="24"/>
      <c r="G1510" s="24"/>
      <c r="H1510" s="24"/>
      <c r="I1510" s="24"/>
      <c r="J1510" s="67"/>
      <c r="K1510" s="24"/>
    </row>
    <row r="1511" spans="1:11">
      <c r="A1511" s="133" t="s">
        <v>1632</v>
      </c>
      <c r="B1511" s="133"/>
      <c r="C1511" s="133"/>
      <c r="D1511" s="133"/>
      <c r="E1511" s="133"/>
      <c r="F1511" s="133"/>
      <c r="G1511" s="133"/>
      <c r="H1511" s="133"/>
      <c r="I1511" s="133"/>
      <c r="J1511" s="133"/>
      <c r="K1511" s="133"/>
    </row>
    <row r="1512" s="47" customFormat="1" outlineLevel="1" spans="1:11">
      <c r="A1512" s="59"/>
      <c r="B1512" s="134" t="str">
        <f>DEC2HEX(4352+ROW()-ROW($B$1512),4)</f>
        <v>1100</v>
      </c>
      <c r="C1512" s="63" t="s">
        <v>1633</v>
      </c>
      <c r="D1512" s="59" t="s">
        <v>59</v>
      </c>
      <c r="E1512" s="59"/>
      <c r="F1512" s="59"/>
      <c r="G1512" s="59"/>
      <c r="H1512" s="59"/>
      <c r="I1512" s="59" t="s">
        <v>38</v>
      </c>
      <c r="J1512" s="63" t="s">
        <v>1634</v>
      </c>
      <c r="K1512" s="89" t="s">
        <v>61</v>
      </c>
    </row>
    <row r="1513" s="47" customFormat="1" outlineLevel="1" spans="1:11">
      <c r="A1513" s="59"/>
      <c r="B1513" s="134" t="str">
        <f>DEC2HEX(4352+ROW()-ROW($B$1512),4)</f>
        <v>1101</v>
      </c>
      <c r="C1513" s="63"/>
      <c r="D1513" s="59"/>
      <c r="E1513" s="59"/>
      <c r="F1513" s="59"/>
      <c r="G1513" s="59"/>
      <c r="H1513" s="59"/>
      <c r="I1513" s="59"/>
      <c r="J1513" s="63"/>
      <c r="K1513" s="90"/>
    </row>
    <row r="1514" s="47" customFormat="1" outlineLevel="1" spans="1:11">
      <c r="A1514" s="59"/>
      <c r="B1514" s="134" t="str">
        <f t="shared" ref="B1514:B1577" si="44">DEC2HEX(4352+ROW()-ROW($B$1512),4)</f>
        <v>1102</v>
      </c>
      <c r="C1514" s="63"/>
      <c r="D1514" s="59"/>
      <c r="E1514" s="59"/>
      <c r="F1514" s="59"/>
      <c r="G1514" s="59"/>
      <c r="H1514" s="59"/>
      <c r="I1514" s="59"/>
      <c r="J1514" s="63"/>
      <c r="K1514" s="90"/>
    </row>
    <row r="1515" s="47" customFormat="1" ht="42" customHeight="1" outlineLevel="1" spans="1:11">
      <c r="A1515" s="59"/>
      <c r="B1515" s="134" t="str">
        <f t="shared" si="44"/>
        <v>1103</v>
      </c>
      <c r="C1515" s="63"/>
      <c r="D1515" s="59"/>
      <c r="E1515" s="59"/>
      <c r="F1515" s="59"/>
      <c r="G1515" s="59"/>
      <c r="H1515" s="59"/>
      <c r="I1515" s="59"/>
      <c r="J1515" s="63"/>
      <c r="K1515" s="137"/>
    </row>
    <row r="1516" ht="42.75" outlineLevel="1" spans="1:11">
      <c r="A1516" s="24"/>
      <c r="B1516" s="134" t="str">
        <f t="shared" si="44"/>
        <v>1104</v>
      </c>
      <c r="C1516" s="78" t="s">
        <v>1635</v>
      </c>
      <c r="D1516" s="59" t="s">
        <v>89</v>
      </c>
      <c r="E1516" s="59"/>
      <c r="F1516" s="59"/>
      <c r="G1516" s="59">
        <v>0</v>
      </c>
      <c r="H1516" s="59">
        <v>1</v>
      </c>
      <c r="I1516" s="59" t="s">
        <v>1070</v>
      </c>
      <c r="J1516" s="138" t="s">
        <v>1636</v>
      </c>
      <c r="K1516" s="59" t="s">
        <v>61</v>
      </c>
    </row>
    <row r="1517" ht="85.5" outlineLevel="1" spans="1:11">
      <c r="A1517" s="24"/>
      <c r="B1517" s="134" t="str">
        <f t="shared" si="44"/>
        <v>1105</v>
      </c>
      <c r="C1517" s="67" t="s">
        <v>1637</v>
      </c>
      <c r="D1517" s="24" t="s">
        <v>89</v>
      </c>
      <c r="E1517" s="24"/>
      <c r="F1517" s="24"/>
      <c r="G1517" s="24"/>
      <c r="H1517" s="24"/>
      <c r="I1517" s="24" t="s">
        <v>1638</v>
      </c>
      <c r="J1517" s="139" t="s">
        <v>1639</v>
      </c>
      <c r="K1517" s="24" t="s">
        <v>61</v>
      </c>
    </row>
    <row r="1518" outlineLevel="1" spans="1:11">
      <c r="A1518" s="24"/>
      <c r="B1518" s="134" t="str">
        <f t="shared" si="44"/>
        <v>1106</v>
      </c>
      <c r="C1518" s="69" t="s">
        <v>1640</v>
      </c>
      <c r="D1518" s="24" t="s">
        <v>89</v>
      </c>
      <c r="E1518" s="24">
        <v>0.1</v>
      </c>
      <c r="F1518" s="24" t="s">
        <v>584</v>
      </c>
      <c r="G1518" s="24">
        <v>0</v>
      </c>
      <c r="H1518" s="24">
        <v>1000</v>
      </c>
      <c r="I1518" s="24" t="s">
        <v>1638</v>
      </c>
      <c r="J1518" s="138" t="s">
        <v>1641</v>
      </c>
      <c r="K1518" s="24" t="s">
        <v>61</v>
      </c>
    </row>
    <row r="1519" outlineLevel="1" spans="1:11">
      <c r="A1519" s="24"/>
      <c r="B1519" s="134" t="str">
        <f t="shared" si="44"/>
        <v>1107</v>
      </c>
      <c r="C1519" s="69" t="s">
        <v>1642</v>
      </c>
      <c r="D1519" s="24" t="s">
        <v>89</v>
      </c>
      <c r="E1519" s="24">
        <v>0.1</v>
      </c>
      <c r="F1519" s="24" t="s">
        <v>584</v>
      </c>
      <c r="G1519" s="24">
        <v>0</v>
      </c>
      <c r="H1519" s="24">
        <v>1000</v>
      </c>
      <c r="I1519" s="24" t="s">
        <v>1638</v>
      </c>
      <c r="J1519" s="138" t="s">
        <v>1643</v>
      </c>
      <c r="K1519" s="24" t="s">
        <v>61</v>
      </c>
    </row>
    <row r="1520" ht="42.75" outlineLevel="1" spans="1:11">
      <c r="A1520" s="24"/>
      <c r="B1520" s="134" t="str">
        <f t="shared" si="44"/>
        <v>1108</v>
      </c>
      <c r="C1520" s="69" t="s">
        <v>1644</v>
      </c>
      <c r="D1520" s="76" t="s">
        <v>131</v>
      </c>
      <c r="E1520" s="76">
        <v>0.1</v>
      </c>
      <c r="F1520" s="76" t="s">
        <v>584</v>
      </c>
      <c r="G1520" s="76">
        <v>-1000</v>
      </c>
      <c r="H1520" s="24">
        <v>1000</v>
      </c>
      <c r="I1520" s="24" t="s">
        <v>1638</v>
      </c>
      <c r="J1520" s="140" t="s">
        <v>1645</v>
      </c>
      <c r="K1520" s="24" t="s">
        <v>61</v>
      </c>
    </row>
    <row r="1521" ht="42.75" outlineLevel="1" spans="1:11">
      <c r="A1521" s="24"/>
      <c r="B1521" s="134" t="str">
        <f t="shared" si="44"/>
        <v>1109</v>
      </c>
      <c r="C1521" s="69" t="s">
        <v>1646</v>
      </c>
      <c r="D1521" s="24" t="s">
        <v>131</v>
      </c>
      <c r="E1521" s="24">
        <v>0.01</v>
      </c>
      <c r="F1521" s="24" t="s">
        <v>310</v>
      </c>
      <c r="G1521" s="24">
        <v>-100</v>
      </c>
      <c r="H1521" s="24">
        <v>100</v>
      </c>
      <c r="I1521" s="24" t="s">
        <v>1638</v>
      </c>
      <c r="J1521" s="140" t="s">
        <v>1647</v>
      </c>
      <c r="K1521" s="24" t="s">
        <v>61</v>
      </c>
    </row>
    <row r="1522" outlineLevel="1" spans="1:11">
      <c r="A1522" s="24"/>
      <c r="B1522" s="134" t="str">
        <f t="shared" si="44"/>
        <v>110A</v>
      </c>
      <c r="C1522" s="69" t="s">
        <v>1648</v>
      </c>
      <c r="D1522" s="24" t="s">
        <v>89</v>
      </c>
      <c r="E1522" s="24">
        <v>1</v>
      </c>
      <c r="F1522" s="24" t="s">
        <v>584</v>
      </c>
      <c r="G1522" s="24">
        <v>1</v>
      </c>
      <c r="H1522" s="24">
        <v>65535</v>
      </c>
      <c r="I1522" s="24" t="s">
        <v>1638</v>
      </c>
      <c r="J1522" s="140" t="s">
        <v>1649</v>
      </c>
      <c r="K1522" s="24" t="s">
        <v>61</v>
      </c>
    </row>
    <row r="1523" outlineLevel="1" spans="1:11">
      <c r="A1523" s="24"/>
      <c r="B1523" s="134" t="str">
        <f t="shared" si="44"/>
        <v>110B</v>
      </c>
      <c r="C1523" s="67" t="s">
        <v>1650</v>
      </c>
      <c r="D1523" s="24" t="s">
        <v>89</v>
      </c>
      <c r="E1523" s="24">
        <v>0.1</v>
      </c>
      <c r="F1523" s="24" t="s">
        <v>1651</v>
      </c>
      <c r="G1523" s="24">
        <v>0</v>
      </c>
      <c r="H1523" s="24">
        <v>65535</v>
      </c>
      <c r="I1523" s="24" t="s">
        <v>1638</v>
      </c>
      <c r="J1523" s="141" t="s">
        <v>1652</v>
      </c>
      <c r="K1523" s="24" t="s">
        <v>61</v>
      </c>
    </row>
    <row r="1524" outlineLevel="1" spans="1:11">
      <c r="A1524" s="24"/>
      <c r="B1524" s="134" t="str">
        <f t="shared" si="44"/>
        <v>110C</v>
      </c>
      <c r="C1524" s="67"/>
      <c r="D1524" s="24"/>
      <c r="E1524" s="24"/>
      <c r="F1524" s="24"/>
      <c r="G1524" s="24"/>
      <c r="H1524" s="24"/>
      <c r="I1524" s="24"/>
      <c r="J1524" s="67"/>
      <c r="K1524" s="24" t="s">
        <v>61</v>
      </c>
    </row>
    <row r="1525" outlineLevel="1" spans="1:11">
      <c r="A1525" s="24"/>
      <c r="B1525" s="134" t="str">
        <f t="shared" si="44"/>
        <v>110D</v>
      </c>
      <c r="C1525" s="67"/>
      <c r="D1525" s="24"/>
      <c r="E1525" s="24"/>
      <c r="F1525" s="24"/>
      <c r="G1525" s="24"/>
      <c r="H1525" s="24"/>
      <c r="I1525" s="24"/>
      <c r="J1525" s="67"/>
      <c r="K1525" s="24" t="s">
        <v>61</v>
      </c>
    </row>
    <row r="1526" outlineLevel="1" spans="1:11">
      <c r="A1526" s="24"/>
      <c r="B1526" s="134" t="str">
        <f t="shared" si="44"/>
        <v>110E</v>
      </c>
      <c r="C1526" s="67"/>
      <c r="D1526" s="24"/>
      <c r="E1526" s="24"/>
      <c r="F1526" s="24"/>
      <c r="G1526" s="24"/>
      <c r="H1526" s="24"/>
      <c r="I1526" s="24"/>
      <c r="J1526" s="67"/>
      <c r="K1526" s="24" t="s">
        <v>61</v>
      </c>
    </row>
    <row r="1527" outlineLevel="1" spans="1:11">
      <c r="A1527" s="24"/>
      <c r="B1527" s="135" t="str">
        <f t="shared" si="44"/>
        <v>110F</v>
      </c>
      <c r="C1527" s="75"/>
      <c r="D1527" s="82"/>
      <c r="E1527" s="82"/>
      <c r="F1527" s="82"/>
      <c r="G1527" s="82"/>
      <c r="H1527" s="82"/>
      <c r="I1527" s="82"/>
      <c r="J1527" s="75"/>
      <c r="K1527" s="24" t="s">
        <v>61</v>
      </c>
    </row>
    <row r="1528" ht="132" customHeight="1" outlineLevel="1" spans="1:11">
      <c r="A1528" s="24"/>
      <c r="B1528" s="134" t="str">
        <f t="shared" si="44"/>
        <v>1110</v>
      </c>
      <c r="C1528" s="63" t="s">
        <v>1653</v>
      </c>
      <c r="D1528" s="59" t="s">
        <v>89</v>
      </c>
      <c r="E1528" s="59"/>
      <c r="F1528" s="59"/>
      <c r="G1528" s="59">
        <v>0</v>
      </c>
      <c r="H1528" s="59">
        <v>4</v>
      </c>
      <c r="I1528" s="59" t="s">
        <v>1070</v>
      </c>
      <c r="J1528" s="63" t="s">
        <v>1654</v>
      </c>
      <c r="K1528" s="59" t="s">
        <v>61</v>
      </c>
    </row>
    <row r="1529" ht="126" customHeight="1" outlineLevel="1" spans="1:11">
      <c r="A1529" s="24"/>
      <c r="B1529" s="134" t="str">
        <f t="shared" si="44"/>
        <v>1111</v>
      </c>
      <c r="C1529" s="63" t="s">
        <v>1655</v>
      </c>
      <c r="D1529" s="59" t="s">
        <v>89</v>
      </c>
      <c r="E1529" s="59"/>
      <c r="F1529" s="59"/>
      <c r="G1529" s="59">
        <v>0</v>
      </c>
      <c r="H1529" s="59">
        <v>3</v>
      </c>
      <c r="I1529" s="59" t="s">
        <v>1070</v>
      </c>
      <c r="J1529" s="63" t="s">
        <v>1656</v>
      </c>
      <c r="K1529" s="59" t="s">
        <v>61</v>
      </c>
    </row>
    <row r="1530" ht="42.75" outlineLevel="1" spans="1:11">
      <c r="A1530" s="24"/>
      <c r="B1530" s="134" t="str">
        <f t="shared" si="44"/>
        <v>1112</v>
      </c>
      <c r="C1530" s="63" t="s">
        <v>1657</v>
      </c>
      <c r="D1530" s="59" t="s">
        <v>89</v>
      </c>
      <c r="E1530" s="59"/>
      <c r="F1530" s="59"/>
      <c r="G1530" s="59">
        <v>0</v>
      </c>
      <c r="H1530" s="59">
        <v>1</v>
      </c>
      <c r="I1530" s="59" t="s">
        <v>1070</v>
      </c>
      <c r="J1530" s="63" t="s">
        <v>1658</v>
      </c>
      <c r="K1530" s="59" t="s">
        <v>61</v>
      </c>
    </row>
    <row r="1531" ht="28.5" outlineLevel="1" spans="1:11">
      <c r="A1531" s="24"/>
      <c r="B1531" s="134" t="str">
        <f t="shared" si="44"/>
        <v>1113</v>
      </c>
      <c r="C1531" s="136" t="s">
        <v>1659</v>
      </c>
      <c r="D1531" s="59" t="s">
        <v>89</v>
      </c>
      <c r="E1531" s="61" t="s">
        <v>1660</v>
      </c>
      <c r="F1531" s="61" t="s">
        <v>1661</v>
      </c>
      <c r="G1531" s="61" t="s">
        <v>1662</v>
      </c>
      <c r="H1531" s="61" t="s">
        <v>1663</v>
      </c>
      <c r="I1531" s="89" t="s">
        <v>1070</v>
      </c>
      <c r="J1531" s="63" t="s">
        <v>1664</v>
      </c>
      <c r="K1531" s="89" t="s">
        <v>61</v>
      </c>
    </row>
    <row r="1532" ht="28.5" outlineLevel="1" spans="1:11">
      <c r="A1532" s="24"/>
      <c r="B1532" s="134" t="str">
        <f t="shared" si="44"/>
        <v>1114</v>
      </c>
      <c r="C1532" s="136" t="s">
        <v>1665</v>
      </c>
      <c r="D1532" s="59" t="s">
        <v>89</v>
      </c>
      <c r="E1532" s="61" t="s">
        <v>1660</v>
      </c>
      <c r="F1532" s="61" t="s">
        <v>1661</v>
      </c>
      <c r="G1532" s="61" t="s">
        <v>1662</v>
      </c>
      <c r="H1532" s="61" t="s">
        <v>1663</v>
      </c>
      <c r="I1532" s="89" t="s">
        <v>1070</v>
      </c>
      <c r="J1532" s="63" t="s">
        <v>1666</v>
      </c>
      <c r="K1532" s="89" t="s">
        <v>61</v>
      </c>
    </row>
    <row r="1533" ht="28.5" outlineLevel="1" spans="1:11">
      <c r="A1533" s="24"/>
      <c r="B1533" s="134" t="str">
        <f t="shared" si="44"/>
        <v>1115</v>
      </c>
      <c r="C1533" s="136" t="s">
        <v>1667</v>
      </c>
      <c r="D1533" s="59" t="s">
        <v>89</v>
      </c>
      <c r="E1533" s="61" t="s">
        <v>1660</v>
      </c>
      <c r="F1533" s="61" t="s">
        <v>1661</v>
      </c>
      <c r="G1533" s="61" t="s">
        <v>1662</v>
      </c>
      <c r="H1533" s="61" t="s">
        <v>1663</v>
      </c>
      <c r="I1533" s="89" t="s">
        <v>1070</v>
      </c>
      <c r="J1533" s="63" t="s">
        <v>1668</v>
      </c>
      <c r="K1533" s="89" t="s">
        <v>61</v>
      </c>
    </row>
    <row r="1534" ht="28.5" outlineLevel="1" spans="1:11">
      <c r="A1534" s="24"/>
      <c r="B1534" s="134" t="str">
        <f t="shared" si="44"/>
        <v>1116</v>
      </c>
      <c r="C1534" s="136" t="s">
        <v>1669</v>
      </c>
      <c r="D1534" s="59" t="s">
        <v>89</v>
      </c>
      <c r="E1534" s="61" t="s">
        <v>1660</v>
      </c>
      <c r="F1534" s="61" t="s">
        <v>1661</v>
      </c>
      <c r="G1534" s="61" t="s">
        <v>1662</v>
      </c>
      <c r="H1534" s="61" t="s">
        <v>1663</v>
      </c>
      <c r="I1534" s="89" t="s">
        <v>1070</v>
      </c>
      <c r="J1534" s="63" t="s">
        <v>1670</v>
      </c>
      <c r="K1534" s="89" t="s">
        <v>61</v>
      </c>
    </row>
    <row r="1535" outlineLevel="1" spans="1:11">
      <c r="A1535" s="24"/>
      <c r="B1535" s="134" t="str">
        <f t="shared" si="44"/>
        <v>1117</v>
      </c>
      <c r="C1535" s="63" t="s">
        <v>1671</v>
      </c>
      <c r="D1535" s="59" t="s">
        <v>164</v>
      </c>
      <c r="E1535" s="59">
        <v>1</v>
      </c>
      <c r="F1535" s="59" t="s">
        <v>41</v>
      </c>
      <c r="G1535" s="59">
        <v>1</v>
      </c>
      <c r="H1535" s="60">
        <v>4294967296</v>
      </c>
      <c r="I1535" s="59" t="s">
        <v>1070</v>
      </c>
      <c r="J1535" s="63" t="s">
        <v>1672</v>
      </c>
      <c r="K1535" s="59" t="s">
        <v>61</v>
      </c>
    </row>
    <row r="1536" outlineLevel="1" spans="1:11">
      <c r="A1536" s="24"/>
      <c r="B1536" s="134" t="str">
        <f t="shared" si="44"/>
        <v>1118</v>
      </c>
      <c r="C1536" s="63"/>
      <c r="D1536" s="59"/>
      <c r="E1536" s="59"/>
      <c r="F1536" s="59"/>
      <c r="G1536" s="59"/>
      <c r="H1536" s="60"/>
      <c r="I1536" s="59"/>
      <c r="J1536" s="63"/>
      <c r="K1536" s="59" t="s">
        <v>61</v>
      </c>
    </row>
    <row r="1537" outlineLevel="1" spans="1:11">
      <c r="A1537" s="24"/>
      <c r="B1537" s="134" t="str">
        <f t="shared" si="44"/>
        <v>1119</v>
      </c>
      <c r="C1537" s="63" t="s">
        <v>1673</v>
      </c>
      <c r="D1537" s="59" t="s">
        <v>164</v>
      </c>
      <c r="E1537" s="59">
        <v>1</v>
      </c>
      <c r="F1537" s="59" t="s">
        <v>41</v>
      </c>
      <c r="G1537" s="59">
        <v>1</v>
      </c>
      <c r="H1537" s="60">
        <v>4294967296</v>
      </c>
      <c r="I1537" s="59" t="s">
        <v>1070</v>
      </c>
      <c r="J1537" s="63" t="s">
        <v>1674</v>
      </c>
      <c r="K1537" s="59" t="s">
        <v>61</v>
      </c>
    </row>
    <row r="1538" outlineLevel="1" spans="1:11">
      <c r="A1538" s="24"/>
      <c r="B1538" s="134" t="str">
        <f t="shared" si="44"/>
        <v>111A</v>
      </c>
      <c r="C1538" s="63"/>
      <c r="D1538" s="59"/>
      <c r="E1538" s="59"/>
      <c r="F1538" s="59"/>
      <c r="G1538" s="59"/>
      <c r="H1538" s="60"/>
      <c r="I1538" s="59"/>
      <c r="J1538" s="63"/>
      <c r="K1538" s="59" t="s">
        <v>61</v>
      </c>
    </row>
    <row r="1539" outlineLevel="1" spans="1:11">
      <c r="A1539" s="24"/>
      <c r="B1539" s="134" t="str">
        <f t="shared" si="44"/>
        <v>111B</v>
      </c>
      <c r="C1539" s="63" t="s">
        <v>1675</v>
      </c>
      <c r="D1539" s="59"/>
      <c r="E1539" s="59"/>
      <c r="F1539" s="59"/>
      <c r="G1539" s="59"/>
      <c r="H1539" s="59"/>
      <c r="I1539" s="59"/>
      <c r="J1539" s="63" t="s">
        <v>1676</v>
      </c>
      <c r="K1539" s="59" t="s">
        <v>61</v>
      </c>
    </row>
    <row r="1540" outlineLevel="1" spans="1:11">
      <c r="A1540" s="24"/>
      <c r="B1540" s="134" t="str">
        <f t="shared" si="44"/>
        <v>111C</v>
      </c>
      <c r="C1540" s="63" t="s">
        <v>1677</v>
      </c>
      <c r="D1540" s="59"/>
      <c r="E1540" s="59"/>
      <c r="F1540" s="59"/>
      <c r="G1540" s="59"/>
      <c r="H1540" s="59"/>
      <c r="I1540" s="59"/>
      <c r="J1540" s="63" t="s">
        <v>1678</v>
      </c>
      <c r="K1540" s="59" t="s">
        <v>61</v>
      </c>
    </row>
    <row r="1541" outlineLevel="1" spans="1:11">
      <c r="A1541" s="24"/>
      <c r="B1541" s="134" t="str">
        <f t="shared" si="44"/>
        <v>111D</v>
      </c>
      <c r="C1541" s="63" t="s">
        <v>1679</v>
      </c>
      <c r="D1541" s="59"/>
      <c r="E1541" s="59"/>
      <c r="F1541" s="59"/>
      <c r="G1541" s="59"/>
      <c r="H1541" s="59"/>
      <c r="I1541" s="59"/>
      <c r="J1541" s="63" t="s">
        <v>1680</v>
      </c>
      <c r="K1541" s="59" t="s">
        <v>61</v>
      </c>
    </row>
    <row r="1542" outlineLevel="1" spans="1:11">
      <c r="A1542" s="24"/>
      <c r="B1542" s="134" t="str">
        <f t="shared" si="44"/>
        <v>111E</v>
      </c>
      <c r="C1542" s="63" t="s">
        <v>1681</v>
      </c>
      <c r="D1542" s="59"/>
      <c r="E1542" s="59"/>
      <c r="F1542" s="59"/>
      <c r="G1542" s="59"/>
      <c r="H1542" s="59"/>
      <c r="I1542" s="59"/>
      <c r="J1542" s="63" t="s">
        <v>1682</v>
      </c>
      <c r="K1542" s="59" t="s">
        <v>61</v>
      </c>
    </row>
    <row r="1543" ht="285" outlineLevel="1" spans="1:11">
      <c r="A1543" s="24"/>
      <c r="B1543" s="134" t="str">
        <f t="shared" si="44"/>
        <v>111F</v>
      </c>
      <c r="C1543" s="63" t="s">
        <v>1683</v>
      </c>
      <c r="D1543" s="59" t="s">
        <v>89</v>
      </c>
      <c r="E1543" s="59"/>
      <c r="F1543" s="59"/>
      <c r="G1543" s="59">
        <v>1</v>
      </c>
      <c r="H1543" s="59">
        <v>1</v>
      </c>
      <c r="I1543" s="59" t="s">
        <v>1070</v>
      </c>
      <c r="J1543" s="63" t="s">
        <v>1684</v>
      </c>
      <c r="K1543" s="59" t="s">
        <v>61</v>
      </c>
    </row>
    <row r="1544" ht="99.75" outlineLevel="1" spans="1:11">
      <c r="A1544" s="24"/>
      <c r="B1544" s="134" t="str">
        <f t="shared" si="44"/>
        <v>1120</v>
      </c>
      <c r="C1544" s="63" t="s">
        <v>1685</v>
      </c>
      <c r="D1544" s="59" t="s">
        <v>89</v>
      </c>
      <c r="E1544" s="59"/>
      <c r="F1544" s="59"/>
      <c r="G1544" s="59">
        <v>0</v>
      </c>
      <c r="H1544" s="59">
        <v>7</v>
      </c>
      <c r="I1544" s="59" t="s">
        <v>1070</v>
      </c>
      <c r="J1544" s="63" t="s">
        <v>1686</v>
      </c>
      <c r="K1544" s="59" t="s">
        <v>61</v>
      </c>
    </row>
    <row r="1545" ht="42.75" outlineLevel="1" spans="1:11">
      <c r="A1545" s="24"/>
      <c r="B1545" s="134" t="str">
        <f t="shared" si="44"/>
        <v>1121</v>
      </c>
      <c r="C1545" s="63" t="s">
        <v>1687</v>
      </c>
      <c r="D1545" s="59" t="s">
        <v>89</v>
      </c>
      <c r="E1545" s="59"/>
      <c r="F1545" s="59"/>
      <c r="G1545" s="59">
        <v>0</v>
      </c>
      <c r="H1545" s="59">
        <v>1</v>
      </c>
      <c r="I1545" s="59" t="s">
        <v>1070</v>
      </c>
      <c r="J1545" s="63" t="s">
        <v>1688</v>
      </c>
      <c r="K1545" s="59" t="s">
        <v>61</v>
      </c>
    </row>
    <row r="1546" ht="28.5" outlineLevel="1" spans="1:11">
      <c r="A1546" s="24"/>
      <c r="B1546" s="134" t="str">
        <f t="shared" si="44"/>
        <v>1122</v>
      </c>
      <c r="C1546" s="136" t="s">
        <v>1689</v>
      </c>
      <c r="D1546" s="59" t="s">
        <v>89</v>
      </c>
      <c r="E1546" s="61" t="s">
        <v>1660</v>
      </c>
      <c r="F1546" s="61" t="s">
        <v>1661</v>
      </c>
      <c r="G1546" s="61" t="s">
        <v>1662</v>
      </c>
      <c r="H1546" s="61" t="s">
        <v>1663</v>
      </c>
      <c r="I1546" s="89" t="s">
        <v>1070</v>
      </c>
      <c r="J1546" s="63" t="s">
        <v>1664</v>
      </c>
      <c r="K1546" s="59" t="s">
        <v>61</v>
      </c>
    </row>
    <row r="1547" ht="28.5" outlineLevel="1" spans="1:11">
      <c r="A1547" s="24"/>
      <c r="B1547" s="134" t="str">
        <f t="shared" si="44"/>
        <v>1123</v>
      </c>
      <c r="C1547" s="136" t="s">
        <v>1690</v>
      </c>
      <c r="D1547" s="59" t="s">
        <v>89</v>
      </c>
      <c r="E1547" s="61" t="s">
        <v>1660</v>
      </c>
      <c r="F1547" s="61" t="s">
        <v>1661</v>
      </c>
      <c r="G1547" s="61" t="s">
        <v>1662</v>
      </c>
      <c r="H1547" s="61" t="s">
        <v>1663</v>
      </c>
      <c r="I1547" s="89" t="s">
        <v>1070</v>
      </c>
      <c r="J1547" s="63" t="s">
        <v>1666</v>
      </c>
      <c r="K1547" s="59" t="s">
        <v>61</v>
      </c>
    </row>
    <row r="1548" ht="99.75" outlineLevel="1" spans="1:11">
      <c r="A1548" s="24"/>
      <c r="B1548" s="134" t="str">
        <f t="shared" si="44"/>
        <v>1124</v>
      </c>
      <c r="C1548" s="63" t="s">
        <v>1691</v>
      </c>
      <c r="D1548" s="59" t="s">
        <v>89</v>
      </c>
      <c r="E1548" s="59">
        <v>1</v>
      </c>
      <c r="F1548" s="59" t="s">
        <v>584</v>
      </c>
      <c r="G1548" s="59">
        <v>30</v>
      </c>
      <c r="H1548" s="59">
        <v>100</v>
      </c>
      <c r="I1548" s="59" t="s">
        <v>1070</v>
      </c>
      <c r="J1548" s="63" t="s">
        <v>1692</v>
      </c>
      <c r="K1548" s="59" t="s">
        <v>61</v>
      </c>
    </row>
    <row r="1549" outlineLevel="1" spans="1:11">
      <c r="A1549" s="24"/>
      <c r="B1549" s="134" t="str">
        <f t="shared" si="44"/>
        <v>1125</v>
      </c>
      <c r="C1549" s="63" t="s">
        <v>1693</v>
      </c>
      <c r="D1549" s="59" t="s">
        <v>164</v>
      </c>
      <c r="E1549" s="59">
        <v>1</v>
      </c>
      <c r="F1549" s="59" t="s">
        <v>41</v>
      </c>
      <c r="G1549" s="59">
        <v>1</v>
      </c>
      <c r="H1549" s="60">
        <v>4294967296</v>
      </c>
      <c r="I1549" s="59" t="s">
        <v>1070</v>
      </c>
      <c r="J1549" s="63" t="s">
        <v>1694</v>
      </c>
      <c r="K1549" s="89" t="s">
        <v>61</v>
      </c>
    </row>
    <row r="1550" ht="44" customHeight="1" outlineLevel="1" spans="1:11">
      <c r="A1550" s="24"/>
      <c r="B1550" s="134" t="str">
        <f t="shared" si="44"/>
        <v>1126</v>
      </c>
      <c r="C1550" s="63"/>
      <c r="D1550" s="59"/>
      <c r="E1550" s="59"/>
      <c r="F1550" s="59"/>
      <c r="G1550" s="59"/>
      <c r="H1550" s="60"/>
      <c r="I1550" s="59"/>
      <c r="J1550" s="63"/>
      <c r="K1550" s="137"/>
    </row>
    <row r="1551" ht="42.75" outlineLevel="1" spans="1:11">
      <c r="A1551" s="24"/>
      <c r="B1551" s="134" t="str">
        <f t="shared" si="44"/>
        <v>1127</v>
      </c>
      <c r="C1551" s="136" t="s">
        <v>1695</v>
      </c>
      <c r="D1551" s="59" t="s">
        <v>89</v>
      </c>
      <c r="E1551" s="61" t="s">
        <v>1660</v>
      </c>
      <c r="F1551" s="61" t="s">
        <v>1696</v>
      </c>
      <c r="G1551" s="61" t="s">
        <v>1660</v>
      </c>
      <c r="H1551" s="61" t="s">
        <v>1697</v>
      </c>
      <c r="I1551" s="89" t="s">
        <v>1070</v>
      </c>
      <c r="J1551" s="63" t="s">
        <v>1698</v>
      </c>
      <c r="K1551" s="59" t="s">
        <v>61</v>
      </c>
    </row>
    <row r="1552" ht="57" outlineLevel="1" spans="1:11">
      <c r="A1552" s="24"/>
      <c r="B1552" s="134" t="str">
        <f t="shared" si="44"/>
        <v>1128</v>
      </c>
      <c r="C1552" s="136" t="s">
        <v>1699</v>
      </c>
      <c r="D1552" s="59" t="s">
        <v>89</v>
      </c>
      <c r="E1552" s="61" t="s">
        <v>1660</v>
      </c>
      <c r="F1552" s="61" t="s">
        <v>1696</v>
      </c>
      <c r="G1552" s="61" t="s">
        <v>1660</v>
      </c>
      <c r="H1552" s="61" t="s">
        <v>1697</v>
      </c>
      <c r="I1552" s="89" t="s">
        <v>1070</v>
      </c>
      <c r="J1552" s="63" t="s">
        <v>1700</v>
      </c>
      <c r="K1552" s="59" t="s">
        <v>61</v>
      </c>
    </row>
    <row r="1553" ht="171" outlineLevel="1" spans="1:11">
      <c r="A1553" s="24"/>
      <c r="B1553" s="134" t="str">
        <f t="shared" si="44"/>
        <v>1129</v>
      </c>
      <c r="C1553" s="63" t="s">
        <v>1701</v>
      </c>
      <c r="D1553" s="59" t="s">
        <v>89</v>
      </c>
      <c r="E1553" s="59"/>
      <c r="F1553" s="59"/>
      <c r="G1553" s="59"/>
      <c r="H1553" s="59"/>
      <c r="I1553" s="59" t="s">
        <v>1070</v>
      </c>
      <c r="J1553" s="63" t="s">
        <v>1702</v>
      </c>
      <c r="K1553" s="59" t="s">
        <v>780</v>
      </c>
    </row>
    <row r="1554" outlineLevel="1" spans="1:11">
      <c r="A1554" s="24"/>
      <c r="B1554" s="134" t="str">
        <f t="shared" si="44"/>
        <v>112A</v>
      </c>
      <c r="C1554" s="63" t="s">
        <v>1703</v>
      </c>
      <c r="D1554" s="59"/>
      <c r="E1554" s="59"/>
      <c r="F1554" s="59"/>
      <c r="G1554" s="59"/>
      <c r="H1554" s="59"/>
      <c r="I1554" s="59"/>
      <c r="J1554" s="63" t="s">
        <v>1704</v>
      </c>
      <c r="K1554" s="59" t="s">
        <v>61</v>
      </c>
    </row>
    <row r="1555" outlineLevel="1" spans="1:11">
      <c r="A1555" s="24"/>
      <c r="B1555" s="134" t="str">
        <f t="shared" si="44"/>
        <v>112B</v>
      </c>
      <c r="C1555" s="63" t="s">
        <v>1705</v>
      </c>
      <c r="D1555" s="59"/>
      <c r="E1555" s="59"/>
      <c r="F1555" s="59"/>
      <c r="G1555" s="59"/>
      <c r="H1555" s="59"/>
      <c r="I1555" s="59"/>
      <c r="J1555" s="63" t="s">
        <v>1706</v>
      </c>
      <c r="K1555" s="59" t="s">
        <v>61</v>
      </c>
    </row>
    <row r="1556" outlineLevel="1" spans="1:11">
      <c r="A1556" s="24"/>
      <c r="B1556" s="134" t="str">
        <f t="shared" si="44"/>
        <v>112C</v>
      </c>
      <c r="C1556" s="63" t="s">
        <v>1707</v>
      </c>
      <c r="D1556" s="59"/>
      <c r="E1556" s="59"/>
      <c r="F1556" s="59"/>
      <c r="G1556" s="59"/>
      <c r="H1556" s="59"/>
      <c r="I1556" s="59"/>
      <c r="J1556" s="63" t="s">
        <v>1708</v>
      </c>
      <c r="K1556" s="59" t="s">
        <v>61</v>
      </c>
    </row>
    <row r="1557" outlineLevel="1" spans="1:11">
      <c r="A1557" s="24"/>
      <c r="B1557" s="134" t="str">
        <f t="shared" si="44"/>
        <v>112D</v>
      </c>
      <c r="C1557" s="63" t="s">
        <v>1709</v>
      </c>
      <c r="D1557" s="59"/>
      <c r="E1557" s="59"/>
      <c r="F1557" s="59"/>
      <c r="G1557" s="59"/>
      <c r="H1557" s="59"/>
      <c r="I1557" s="59"/>
      <c r="J1557" s="63" t="s">
        <v>1710</v>
      </c>
      <c r="K1557" s="59" t="s">
        <v>61</v>
      </c>
    </row>
    <row r="1558" outlineLevel="1" spans="1:11">
      <c r="A1558" s="24"/>
      <c r="B1558" s="134" t="str">
        <f t="shared" si="44"/>
        <v>112E</v>
      </c>
      <c r="C1558" s="63" t="s">
        <v>1711</v>
      </c>
      <c r="D1558" s="59"/>
      <c r="E1558" s="59"/>
      <c r="F1558" s="59"/>
      <c r="G1558" s="59"/>
      <c r="H1558" s="59"/>
      <c r="I1558" s="59"/>
      <c r="J1558" s="63" t="s">
        <v>1712</v>
      </c>
      <c r="K1558" s="59" t="s">
        <v>61</v>
      </c>
    </row>
    <row r="1559" ht="285" outlineLevel="1" spans="1:11">
      <c r="A1559" s="24"/>
      <c r="B1559" s="134" t="str">
        <f t="shared" si="44"/>
        <v>112F</v>
      </c>
      <c r="C1559" s="63" t="s">
        <v>1713</v>
      </c>
      <c r="D1559" s="59" t="s">
        <v>89</v>
      </c>
      <c r="E1559" s="59"/>
      <c r="F1559" s="59"/>
      <c r="G1559" s="59">
        <v>1</v>
      </c>
      <c r="H1559" s="59">
        <v>1</v>
      </c>
      <c r="I1559" s="59" t="s">
        <v>1070</v>
      </c>
      <c r="J1559" s="63" t="s">
        <v>1714</v>
      </c>
      <c r="K1559" s="59" t="s">
        <v>61</v>
      </c>
    </row>
    <row r="1560" outlineLevel="1" spans="1:11">
      <c r="A1560" s="24"/>
      <c r="B1560" s="134" t="str">
        <f t="shared" si="44"/>
        <v>1130</v>
      </c>
      <c r="C1560" s="142" t="s">
        <v>1715</v>
      </c>
      <c r="D1560" s="89" t="s">
        <v>164</v>
      </c>
      <c r="E1560" s="89">
        <v>1</v>
      </c>
      <c r="F1560" s="89" t="s">
        <v>41</v>
      </c>
      <c r="G1560" s="89">
        <v>100</v>
      </c>
      <c r="H1560" s="89"/>
      <c r="I1560" s="89" t="s">
        <v>1070</v>
      </c>
      <c r="J1560" s="142" t="s">
        <v>1716</v>
      </c>
      <c r="K1560" s="59" t="s">
        <v>61</v>
      </c>
    </row>
    <row r="1561" outlineLevel="1" spans="1:11">
      <c r="A1561" s="24"/>
      <c r="B1561" s="134" t="str">
        <f t="shared" si="44"/>
        <v>1131</v>
      </c>
      <c r="C1561" s="143"/>
      <c r="D1561" s="137"/>
      <c r="E1561" s="137"/>
      <c r="F1561" s="137"/>
      <c r="G1561" s="137"/>
      <c r="H1561" s="137"/>
      <c r="I1561" s="137"/>
      <c r="J1561" s="143"/>
      <c r="K1561" s="59" t="s">
        <v>61</v>
      </c>
    </row>
    <row r="1562" outlineLevel="1" spans="1:11">
      <c r="A1562" s="24"/>
      <c r="B1562" s="134" t="str">
        <f t="shared" si="44"/>
        <v>1132</v>
      </c>
      <c r="C1562" s="142" t="s">
        <v>1717</v>
      </c>
      <c r="D1562" s="89" t="s">
        <v>164</v>
      </c>
      <c r="E1562" s="89">
        <v>1</v>
      </c>
      <c r="F1562" s="89" t="s">
        <v>41</v>
      </c>
      <c r="G1562" s="89">
        <v>100</v>
      </c>
      <c r="H1562" s="89"/>
      <c r="I1562" s="89" t="s">
        <v>1070</v>
      </c>
      <c r="J1562" s="142" t="s">
        <v>1718</v>
      </c>
      <c r="K1562" s="59" t="s">
        <v>61</v>
      </c>
    </row>
    <row r="1563" outlineLevel="1" spans="1:11">
      <c r="A1563" s="24"/>
      <c r="B1563" s="134" t="str">
        <f t="shared" si="44"/>
        <v>1133</v>
      </c>
      <c r="C1563" s="143"/>
      <c r="D1563" s="137"/>
      <c r="E1563" s="137"/>
      <c r="F1563" s="137"/>
      <c r="G1563" s="137"/>
      <c r="H1563" s="137"/>
      <c r="I1563" s="137"/>
      <c r="J1563" s="143"/>
      <c r="K1563" s="59" t="s">
        <v>61</v>
      </c>
    </row>
    <row r="1564" outlineLevel="1" spans="1:11">
      <c r="A1564" s="24"/>
      <c r="B1564" s="134" t="str">
        <f t="shared" si="44"/>
        <v>1134</v>
      </c>
      <c r="C1564" s="67"/>
      <c r="D1564" s="24"/>
      <c r="E1564" s="24"/>
      <c r="F1564" s="24"/>
      <c r="G1564" s="24"/>
      <c r="H1564" s="24"/>
      <c r="I1564" s="24"/>
      <c r="J1564" s="67"/>
      <c r="K1564" s="24"/>
    </row>
    <row r="1565" outlineLevel="1" spans="1:11">
      <c r="A1565" s="24"/>
      <c r="B1565" s="134" t="str">
        <f t="shared" si="44"/>
        <v>1135</v>
      </c>
      <c r="C1565" s="67"/>
      <c r="D1565" s="24"/>
      <c r="E1565" s="24"/>
      <c r="F1565" s="24"/>
      <c r="G1565" s="24"/>
      <c r="H1565" s="24"/>
      <c r="I1565" s="24"/>
      <c r="J1565" s="67"/>
      <c r="K1565" s="24"/>
    </row>
    <row r="1566" outlineLevel="1" spans="1:11">
      <c r="A1566" s="24"/>
      <c r="B1566" s="134" t="str">
        <f t="shared" si="44"/>
        <v>1136</v>
      </c>
      <c r="C1566" s="67"/>
      <c r="D1566" s="24"/>
      <c r="E1566" s="24"/>
      <c r="F1566" s="24"/>
      <c r="G1566" s="24"/>
      <c r="H1566" s="24"/>
      <c r="I1566" s="24"/>
      <c r="J1566" s="67"/>
      <c r="K1566" s="24"/>
    </row>
    <row r="1567" outlineLevel="1" spans="1:11">
      <c r="A1567" s="24"/>
      <c r="B1567" s="134" t="str">
        <f t="shared" si="44"/>
        <v>1137</v>
      </c>
      <c r="C1567" s="67"/>
      <c r="D1567" s="24"/>
      <c r="E1567" s="24"/>
      <c r="F1567" s="24"/>
      <c r="G1567" s="24"/>
      <c r="H1567" s="24"/>
      <c r="I1567" s="24"/>
      <c r="J1567" s="67"/>
      <c r="K1567" s="24"/>
    </row>
    <row r="1568" outlineLevel="1" spans="1:11">
      <c r="A1568" s="24"/>
      <c r="B1568" s="134" t="str">
        <f t="shared" si="44"/>
        <v>1138</v>
      </c>
      <c r="C1568" s="67"/>
      <c r="D1568" s="24"/>
      <c r="E1568" s="24"/>
      <c r="F1568" s="24"/>
      <c r="G1568" s="24"/>
      <c r="H1568" s="24"/>
      <c r="I1568" s="24"/>
      <c r="J1568" s="67"/>
      <c r="K1568" s="24"/>
    </row>
    <row r="1569" outlineLevel="1" spans="1:11">
      <c r="A1569" s="24"/>
      <c r="B1569" s="134" t="str">
        <f t="shared" si="44"/>
        <v>1139</v>
      </c>
      <c r="C1569" s="67"/>
      <c r="D1569" s="24"/>
      <c r="E1569" s="24"/>
      <c r="F1569" s="24"/>
      <c r="G1569" s="24"/>
      <c r="H1569" s="24"/>
      <c r="I1569" s="24"/>
      <c r="J1569" s="67"/>
      <c r="K1569" s="24"/>
    </row>
    <row r="1570" outlineLevel="1" spans="1:11">
      <c r="A1570" s="24"/>
      <c r="B1570" s="134" t="str">
        <f t="shared" si="44"/>
        <v>113A</v>
      </c>
      <c r="C1570" s="67"/>
      <c r="D1570" s="24"/>
      <c r="E1570" s="24"/>
      <c r="F1570" s="24"/>
      <c r="G1570" s="24"/>
      <c r="H1570" s="24"/>
      <c r="I1570" s="24"/>
      <c r="J1570" s="67"/>
      <c r="K1570" s="24"/>
    </row>
    <row r="1571" outlineLevel="1" spans="1:11">
      <c r="A1571" s="24"/>
      <c r="B1571" s="134" t="str">
        <f t="shared" si="44"/>
        <v>113B</v>
      </c>
      <c r="C1571" s="67"/>
      <c r="D1571" s="24"/>
      <c r="E1571" s="24"/>
      <c r="F1571" s="24"/>
      <c r="G1571" s="24"/>
      <c r="H1571" s="24"/>
      <c r="I1571" s="24"/>
      <c r="J1571" s="67"/>
      <c r="K1571" s="24"/>
    </row>
    <row r="1572" outlineLevel="1" spans="1:11">
      <c r="A1572" s="24"/>
      <c r="B1572" s="134" t="str">
        <f t="shared" si="44"/>
        <v>113C</v>
      </c>
      <c r="C1572" s="67"/>
      <c r="D1572" s="24"/>
      <c r="E1572" s="24"/>
      <c r="F1572" s="24"/>
      <c r="G1572" s="24"/>
      <c r="H1572" s="24"/>
      <c r="I1572" s="24"/>
      <c r="J1572" s="67"/>
      <c r="K1572" s="24"/>
    </row>
    <row r="1573" outlineLevel="1" spans="1:11">
      <c r="A1573" s="24"/>
      <c r="B1573" s="134" t="str">
        <f t="shared" si="44"/>
        <v>113D</v>
      </c>
      <c r="C1573" s="67"/>
      <c r="D1573" s="24"/>
      <c r="E1573" s="24"/>
      <c r="F1573" s="24"/>
      <c r="G1573" s="24"/>
      <c r="H1573" s="24"/>
      <c r="I1573" s="24"/>
      <c r="J1573" s="67"/>
      <c r="K1573" s="24"/>
    </row>
    <row r="1574" outlineLevel="1" spans="1:11">
      <c r="A1574" s="24"/>
      <c r="B1574" s="134" t="str">
        <f t="shared" si="44"/>
        <v>113E</v>
      </c>
      <c r="C1574" s="67"/>
      <c r="D1574" s="24"/>
      <c r="E1574" s="24"/>
      <c r="F1574" s="24"/>
      <c r="G1574" s="24"/>
      <c r="H1574" s="24"/>
      <c r="I1574" s="24"/>
      <c r="J1574" s="67"/>
      <c r="K1574" s="24"/>
    </row>
    <row r="1575" outlineLevel="1" spans="1:11">
      <c r="A1575" s="24"/>
      <c r="B1575" s="134" t="str">
        <f t="shared" si="44"/>
        <v>113F</v>
      </c>
      <c r="C1575" s="67"/>
      <c r="D1575" s="24"/>
      <c r="E1575" s="24"/>
      <c r="F1575" s="24"/>
      <c r="G1575" s="24"/>
      <c r="H1575" s="24"/>
      <c r="I1575" s="24"/>
      <c r="J1575" s="67"/>
      <c r="K1575" s="24"/>
    </row>
    <row r="1576" outlineLevel="1" spans="1:11">
      <c r="A1576" s="24"/>
      <c r="B1576" s="134" t="str">
        <f t="shared" si="44"/>
        <v>1140</v>
      </c>
      <c r="C1576" s="63" t="s">
        <v>1719</v>
      </c>
      <c r="D1576" s="59" t="s">
        <v>59</v>
      </c>
      <c r="E1576" s="59"/>
      <c r="F1576" s="59"/>
      <c r="G1576" s="59"/>
      <c r="H1576" s="59"/>
      <c r="I1576" s="59" t="s">
        <v>38</v>
      </c>
      <c r="J1576" s="63" t="s">
        <v>568</v>
      </c>
      <c r="K1576" s="89" t="s">
        <v>61</v>
      </c>
    </row>
    <row r="1577" outlineLevel="1" spans="1:11">
      <c r="A1577" s="24"/>
      <c r="B1577" s="134" t="str">
        <f t="shared" si="44"/>
        <v>1141</v>
      </c>
      <c r="C1577" s="63"/>
      <c r="D1577" s="59"/>
      <c r="E1577" s="59"/>
      <c r="F1577" s="59"/>
      <c r="G1577" s="59"/>
      <c r="H1577" s="59"/>
      <c r="I1577" s="59"/>
      <c r="J1577" s="63"/>
      <c r="K1577" s="90"/>
    </row>
    <row r="1578" outlineLevel="1" spans="1:11">
      <c r="A1578" s="24"/>
      <c r="B1578" s="134" t="str">
        <f t="shared" ref="B1578:B1641" si="45">DEC2HEX(4352+ROW()-ROW($B$1512),4)</f>
        <v>1142</v>
      </c>
      <c r="C1578" s="63"/>
      <c r="D1578" s="59"/>
      <c r="E1578" s="59"/>
      <c r="F1578" s="59"/>
      <c r="G1578" s="59"/>
      <c r="H1578" s="59"/>
      <c r="I1578" s="59"/>
      <c r="J1578" s="63"/>
      <c r="K1578" s="90"/>
    </row>
    <row r="1579" ht="75" customHeight="1" outlineLevel="1" spans="1:11">
      <c r="A1579" s="24"/>
      <c r="B1579" s="134" t="str">
        <f t="shared" si="45"/>
        <v>1143</v>
      </c>
      <c r="C1579" s="63"/>
      <c r="D1579" s="59"/>
      <c r="E1579" s="59"/>
      <c r="F1579" s="59"/>
      <c r="G1579" s="59"/>
      <c r="H1579" s="59"/>
      <c r="I1579" s="59"/>
      <c r="J1579" s="63"/>
      <c r="K1579" s="137"/>
    </row>
    <row r="1580" ht="57" outlineLevel="1" spans="1:11">
      <c r="A1580" s="24"/>
      <c r="B1580" s="135" t="str">
        <f t="shared" si="45"/>
        <v>1144</v>
      </c>
      <c r="C1580" s="78" t="s">
        <v>1720</v>
      </c>
      <c r="D1580" s="105" t="s">
        <v>89</v>
      </c>
      <c r="E1580" s="105"/>
      <c r="F1580" s="105"/>
      <c r="G1580" s="105">
        <v>0</v>
      </c>
      <c r="H1580" s="105">
        <v>2</v>
      </c>
      <c r="I1580" s="105" t="s">
        <v>1070</v>
      </c>
      <c r="J1580" s="78" t="s">
        <v>1721</v>
      </c>
      <c r="K1580" s="59"/>
    </row>
    <row r="1581" outlineLevel="1" spans="1:11">
      <c r="A1581" s="24"/>
      <c r="B1581" s="135" t="str">
        <f t="shared" si="45"/>
        <v>1145</v>
      </c>
      <c r="C1581" s="78" t="s">
        <v>1722</v>
      </c>
      <c r="D1581" s="105" t="s">
        <v>89</v>
      </c>
      <c r="E1581" s="105">
        <v>0.01</v>
      </c>
      <c r="F1581" s="105" t="s">
        <v>284</v>
      </c>
      <c r="G1581" s="105">
        <v>0</v>
      </c>
      <c r="H1581" s="105">
        <v>65535</v>
      </c>
      <c r="I1581" s="105" t="s">
        <v>1070</v>
      </c>
      <c r="J1581" s="78" t="s">
        <v>1723</v>
      </c>
      <c r="K1581" s="59"/>
    </row>
    <row r="1582" outlineLevel="1" spans="1:11">
      <c r="A1582" s="24"/>
      <c r="B1582" s="135" t="str">
        <f t="shared" si="45"/>
        <v>1146</v>
      </c>
      <c r="C1582" s="78" t="s">
        <v>1724</v>
      </c>
      <c r="D1582" s="105" t="s">
        <v>89</v>
      </c>
      <c r="E1582" s="105">
        <v>0.01</v>
      </c>
      <c r="F1582" s="105" t="s">
        <v>284</v>
      </c>
      <c r="G1582" s="105">
        <v>0</v>
      </c>
      <c r="H1582" s="105">
        <v>65535</v>
      </c>
      <c r="I1582" s="105" t="s">
        <v>1070</v>
      </c>
      <c r="J1582" s="78" t="s">
        <v>1725</v>
      </c>
      <c r="K1582" s="59"/>
    </row>
    <row r="1583" outlineLevel="1" spans="1:11">
      <c r="A1583" s="24"/>
      <c r="B1583" s="134" t="str">
        <f t="shared" si="45"/>
        <v>1147</v>
      </c>
      <c r="C1583" s="63"/>
      <c r="D1583" s="59"/>
      <c r="E1583" s="59"/>
      <c r="F1583" s="59"/>
      <c r="G1583" s="59"/>
      <c r="H1583" s="59"/>
      <c r="I1583" s="59"/>
      <c r="J1583" s="63"/>
      <c r="K1583" s="59"/>
    </row>
    <row r="1584" outlineLevel="1" spans="1:11">
      <c r="A1584" s="24"/>
      <c r="B1584" s="134" t="str">
        <f t="shared" si="45"/>
        <v>1148</v>
      </c>
      <c r="C1584" s="63"/>
      <c r="D1584" s="59"/>
      <c r="E1584" s="59"/>
      <c r="F1584" s="59"/>
      <c r="G1584" s="59"/>
      <c r="H1584" s="59"/>
      <c r="I1584" s="59"/>
      <c r="J1584" s="63"/>
      <c r="K1584" s="59"/>
    </row>
    <row r="1585" outlineLevel="1" spans="1:11">
      <c r="A1585" s="24"/>
      <c r="B1585" s="134" t="str">
        <f t="shared" si="45"/>
        <v>1149</v>
      </c>
      <c r="C1585" s="63"/>
      <c r="D1585" s="59"/>
      <c r="E1585" s="59"/>
      <c r="F1585" s="59"/>
      <c r="G1585" s="59"/>
      <c r="H1585" s="59"/>
      <c r="I1585" s="59"/>
      <c r="J1585" s="63"/>
      <c r="K1585" s="59"/>
    </row>
    <row r="1586" outlineLevel="1" spans="1:11">
      <c r="A1586" s="24"/>
      <c r="B1586" s="134" t="str">
        <f t="shared" si="45"/>
        <v>114A</v>
      </c>
      <c r="C1586" s="63"/>
      <c r="D1586" s="59"/>
      <c r="E1586" s="59"/>
      <c r="F1586" s="59"/>
      <c r="G1586" s="59"/>
      <c r="H1586" s="59"/>
      <c r="I1586" s="59"/>
      <c r="J1586" s="63"/>
      <c r="K1586" s="59"/>
    </row>
    <row r="1587" outlineLevel="1" spans="1:11">
      <c r="A1587" s="24"/>
      <c r="B1587" s="134" t="str">
        <f t="shared" si="45"/>
        <v>114B</v>
      </c>
      <c r="C1587" s="63"/>
      <c r="D1587" s="59"/>
      <c r="E1587" s="59"/>
      <c r="F1587" s="59"/>
      <c r="G1587" s="59"/>
      <c r="H1587" s="59"/>
      <c r="I1587" s="59"/>
      <c r="J1587" s="63"/>
      <c r="K1587" s="59"/>
    </row>
    <row r="1588" outlineLevel="1" spans="1:11">
      <c r="A1588" s="24"/>
      <c r="B1588" s="134" t="str">
        <f t="shared" si="45"/>
        <v>114C</v>
      </c>
      <c r="C1588" s="63"/>
      <c r="D1588" s="59"/>
      <c r="E1588" s="59"/>
      <c r="F1588" s="59"/>
      <c r="G1588" s="59"/>
      <c r="H1588" s="59"/>
      <c r="I1588" s="59"/>
      <c r="J1588" s="63"/>
      <c r="K1588" s="59"/>
    </row>
    <row r="1589" outlineLevel="1" spans="1:11">
      <c r="A1589" s="24"/>
      <c r="B1589" s="134" t="str">
        <f t="shared" si="45"/>
        <v>114D</v>
      </c>
      <c r="C1589" s="63"/>
      <c r="D1589" s="59"/>
      <c r="E1589" s="59"/>
      <c r="F1589" s="59"/>
      <c r="G1589" s="59"/>
      <c r="H1589" s="59"/>
      <c r="I1589" s="59"/>
      <c r="J1589" s="63"/>
      <c r="K1589" s="59"/>
    </row>
    <row r="1590" outlineLevel="1" spans="1:11">
      <c r="A1590" s="24"/>
      <c r="B1590" s="134" t="str">
        <f t="shared" si="45"/>
        <v>114E</v>
      </c>
      <c r="C1590" s="63"/>
      <c r="D1590" s="59"/>
      <c r="E1590" s="59"/>
      <c r="F1590" s="59"/>
      <c r="G1590" s="59"/>
      <c r="H1590" s="59"/>
      <c r="I1590" s="59"/>
      <c r="J1590" s="63"/>
      <c r="K1590" s="59"/>
    </row>
    <row r="1591" outlineLevel="1" spans="1:11">
      <c r="A1591" s="24"/>
      <c r="B1591" s="134" t="str">
        <f t="shared" si="45"/>
        <v>114F</v>
      </c>
      <c r="C1591" s="63"/>
      <c r="D1591" s="59"/>
      <c r="E1591" s="59"/>
      <c r="F1591" s="59"/>
      <c r="G1591" s="59"/>
      <c r="H1591" s="59"/>
      <c r="I1591" s="59"/>
      <c r="J1591" s="63"/>
      <c r="K1591" s="59"/>
    </row>
    <row r="1592" outlineLevel="1" spans="1:11">
      <c r="A1592" s="24"/>
      <c r="B1592" s="134" t="str">
        <f t="shared" si="45"/>
        <v>1150</v>
      </c>
      <c r="C1592" s="63"/>
      <c r="D1592" s="59"/>
      <c r="E1592" s="59"/>
      <c r="F1592" s="59"/>
      <c r="G1592" s="59"/>
      <c r="H1592" s="59"/>
      <c r="I1592" s="59"/>
      <c r="J1592" s="63"/>
      <c r="K1592" s="59"/>
    </row>
    <row r="1593" outlineLevel="1" spans="1:11">
      <c r="A1593" s="24"/>
      <c r="B1593" s="134" t="str">
        <f t="shared" si="45"/>
        <v>1151</v>
      </c>
      <c r="C1593" s="63"/>
      <c r="D1593" s="59"/>
      <c r="E1593" s="59"/>
      <c r="F1593" s="59"/>
      <c r="G1593" s="59"/>
      <c r="H1593" s="59"/>
      <c r="I1593" s="59"/>
      <c r="J1593" s="63"/>
      <c r="K1593" s="59"/>
    </row>
    <row r="1594" outlineLevel="1" spans="1:11">
      <c r="A1594" s="24"/>
      <c r="B1594" s="134" t="str">
        <f t="shared" si="45"/>
        <v>1152</v>
      </c>
      <c r="C1594" s="63"/>
      <c r="D1594" s="59"/>
      <c r="E1594" s="59"/>
      <c r="F1594" s="59"/>
      <c r="G1594" s="59"/>
      <c r="H1594" s="59"/>
      <c r="I1594" s="59"/>
      <c r="J1594" s="63"/>
      <c r="K1594" s="59"/>
    </row>
    <row r="1595" outlineLevel="1" spans="1:11">
      <c r="A1595" s="24"/>
      <c r="B1595" s="134" t="str">
        <f t="shared" si="45"/>
        <v>1153</v>
      </c>
      <c r="C1595" s="63"/>
      <c r="D1595" s="59"/>
      <c r="E1595" s="59"/>
      <c r="F1595" s="59"/>
      <c r="G1595" s="59"/>
      <c r="H1595" s="59"/>
      <c r="I1595" s="59"/>
      <c r="J1595" s="63"/>
      <c r="K1595" s="59"/>
    </row>
    <row r="1596" outlineLevel="1" spans="1:11">
      <c r="A1596" s="24"/>
      <c r="B1596" s="134" t="str">
        <f t="shared" si="45"/>
        <v>1154</v>
      </c>
      <c r="C1596" s="63"/>
      <c r="D1596" s="59"/>
      <c r="E1596" s="59"/>
      <c r="F1596" s="59"/>
      <c r="G1596" s="59"/>
      <c r="H1596" s="59"/>
      <c r="I1596" s="59"/>
      <c r="J1596" s="63"/>
      <c r="K1596" s="59"/>
    </row>
    <row r="1597" outlineLevel="1" spans="1:11">
      <c r="A1597" s="24"/>
      <c r="B1597" s="134" t="str">
        <f t="shared" si="45"/>
        <v>1155</v>
      </c>
      <c r="C1597" s="63"/>
      <c r="D1597" s="59"/>
      <c r="E1597" s="59"/>
      <c r="F1597" s="59"/>
      <c r="G1597" s="59"/>
      <c r="H1597" s="59"/>
      <c r="I1597" s="59"/>
      <c r="J1597" s="63"/>
      <c r="K1597" s="59"/>
    </row>
    <row r="1598" outlineLevel="1" spans="1:11">
      <c r="A1598" s="24"/>
      <c r="B1598" s="134" t="str">
        <f t="shared" si="45"/>
        <v>1156</v>
      </c>
      <c r="C1598" s="63"/>
      <c r="D1598" s="59"/>
      <c r="E1598" s="59"/>
      <c r="F1598" s="59"/>
      <c r="G1598" s="59"/>
      <c r="H1598" s="59"/>
      <c r="I1598" s="59"/>
      <c r="J1598" s="63"/>
      <c r="K1598" s="59"/>
    </row>
    <row r="1599" outlineLevel="1" spans="1:11">
      <c r="A1599" s="24"/>
      <c r="B1599" s="134" t="str">
        <f t="shared" si="45"/>
        <v>1157</v>
      </c>
      <c r="C1599" s="63"/>
      <c r="D1599" s="59"/>
      <c r="E1599" s="59"/>
      <c r="F1599" s="59"/>
      <c r="G1599" s="59"/>
      <c r="H1599" s="59"/>
      <c r="I1599" s="59"/>
      <c r="J1599" s="63"/>
      <c r="K1599" s="59"/>
    </row>
    <row r="1600" outlineLevel="1" spans="1:11">
      <c r="A1600" s="24"/>
      <c r="B1600" s="134" t="str">
        <f t="shared" si="45"/>
        <v>1158</v>
      </c>
      <c r="C1600" s="63"/>
      <c r="D1600" s="59"/>
      <c r="E1600" s="59"/>
      <c r="F1600" s="59"/>
      <c r="G1600" s="59"/>
      <c r="H1600" s="59"/>
      <c r="I1600" s="59"/>
      <c r="J1600" s="63"/>
      <c r="K1600" s="59"/>
    </row>
    <row r="1601" outlineLevel="1" spans="1:11">
      <c r="A1601" s="24"/>
      <c r="B1601" s="134" t="str">
        <f t="shared" si="45"/>
        <v>1159</v>
      </c>
      <c r="C1601" s="63"/>
      <c r="D1601" s="59"/>
      <c r="E1601" s="59"/>
      <c r="F1601" s="59"/>
      <c r="G1601" s="59"/>
      <c r="H1601" s="59"/>
      <c r="I1601" s="59"/>
      <c r="J1601" s="63"/>
      <c r="K1601" s="59"/>
    </row>
    <row r="1602" outlineLevel="1" spans="1:11">
      <c r="A1602" s="24"/>
      <c r="B1602" s="134" t="str">
        <f t="shared" si="45"/>
        <v>115A</v>
      </c>
      <c r="C1602" s="63"/>
      <c r="D1602" s="59"/>
      <c r="E1602" s="59"/>
      <c r="F1602" s="59"/>
      <c r="G1602" s="59"/>
      <c r="H1602" s="59"/>
      <c r="I1602" s="59"/>
      <c r="J1602" s="63"/>
      <c r="K1602" s="59"/>
    </row>
    <row r="1603" outlineLevel="1" spans="1:11">
      <c r="A1603" s="24"/>
      <c r="B1603" s="134" t="str">
        <f t="shared" si="45"/>
        <v>115B</v>
      </c>
      <c r="C1603" s="63"/>
      <c r="D1603" s="59"/>
      <c r="E1603" s="59"/>
      <c r="F1603" s="59"/>
      <c r="G1603" s="59"/>
      <c r="H1603" s="59"/>
      <c r="I1603" s="59"/>
      <c r="J1603" s="63"/>
      <c r="K1603" s="59"/>
    </row>
    <row r="1604" outlineLevel="1" spans="1:11">
      <c r="A1604" s="24"/>
      <c r="B1604" s="134" t="str">
        <f t="shared" si="45"/>
        <v>115C</v>
      </c>
      <c r="C1604" s="63"/>
      <c r="D1604" s="59"/>
      <c r="E1604" s="59"/>
      <c r="F1604" s="59"/>
      <c r="G1604" s="59"/>
      <c r="H1604" s="59"/>
      <c r="I1604" s="59"/>
      <c r="J1604" s="63"/>
      <c r="K1604" s="59"/>
    </row>
    <row r="1605" outlineLevel="1" spans="1:11">
      <c r="A1605" s="24"/>
      <c r="B1605" s="134" t="str">
        <f t="shared" si="45"/>
        <v>115D</v>
      </c>
      <c r="C1605" s="63"/>
      <c r="D1605" s="59"/>
      <c r="E1605" s="59"/>
      <c r="F1605" s="59"/>
      <c r="G1605" s="59"/>
      <c r="H1605" s="59"/>
      <c r="I1605" s="59"/>
      <c r="J1605" s="63"/>
      <c r="K1605" s="59"/>
    </row>
    <row r="1606" outlineLevel="1" spans="1:11">
      <c r="A1606" s="24"/>
      <c r="B1606" s="134" t="str">
        <f t="shared" si="45"/>
        <v>115E</v>
      </c>
      <c r="C1606" s="63"/>
      <c r="D1606" s="59"/>
      <c r="E1606" s="59"/>
      <c r="F1606" s="59"/>
      <c r="G1606" s="59"/>
      <c r="H1606" s="59"/>
      <c r="I1606" s="59"/>
      <c r="J1606" s="63"/>
      <c r="K1606" s="59"/>
    </row>
    <row r="1607" outlineLevel="1" spans="1:11">
      <c r="A1607" s="24"/>
      <c r="B1607" s="134" t="str">
        <f t="shared" si="45"/>
        <v>115F</v>
      </c>
      <c r="C1607" s="63"/>
      <c r="D1607" s="59"/>
      <c r="E1607" s="59"/>
      <c r="F1607" s="59"/>
      <c r="G1607" s="59"/>
      <c r="H1607" s="59"/>
      <c r="I1607" s="59"/>
      <c r="J1607" s="63"/>
      <c r="K1607" s="59"/>
    </row>
    <row r="1608" outlineLevel="1" spans="1:11">
      <c r="A1608" s="24"/>
      <c r="B1608" s="134" t="str">
        <f t="shared" si="45"/>
        <v>1160</v>
      </c>
      <c r="C1608" s="63"/>
      <c r="D1608" s="59"/>
      <c r="E1608" s="59"/>
      <c r="F1608" s="59"/>
      <c r="G1608" s="59"/>
      <c r="H1608" s="59"/>
      <c r="I1608" s="59"/>
      <c r="J1608" s="63"/>
      <c r="K1608" s="59"/>
    </row>
    <row r="1609" outlineLevel="1" spans="1:11">
      <c r="A1609" s="24"/>
      <c r="B1609" s="134" t="str">
        <f t="shared" si="45"/>
        <v>1161</v>
      </c>
      <c r="C1609" s="63"/>
      <c r="D1609" s="59"/>
      <c r="E1609" s="59"/>
      <c r="F1609" s="59"/>
      <c r="G1609" s="59"/>
      <c r="H1609" s="59"/>
      <c r="I1609" s="59"/>
      <c r="J1609" s="63"/>
      <c r="K1609" s="59"/>
    </row>
    <row r="1610" outlineLevel="1" spans="1:11">
      <c r="A1610" s="24"/>
      <c r="B1610" s="134" t="str">
        <f t="shared" si="45"/>
        <v>1162</v>
      </c>
      <c r="C1610" s="63"/>
      <c r="D1610" s="59"/>
      <c r="E1610" s="59"/>
      <c r="F1610" s="59"/>
      <c r="G1610" s="59"/>
      <c r="H1610" s="59"/>
      <c r="I1610" s="59"/>
      <c r="J1610" s="63"/>
      <c r="K1610" s="59"/>
    </row>
    <row r="1611" outlineLevel="1" spans="1:11">
      <c r="A1611" s="24"/>
      <c r="B1611" s="134" t="str">
        <f t="shared" si="45"/>
        <v>1163</v>
      </c>
      <c r="C1611" s="63"/>
      <c r="D1611" s="59"/>
      <c r="E1611" s="59"/>
      <c r="F1611" s="59"/>
      <c r="G1611" s="59"/>
      <c r="H1611" s="59"/>
      <c r="I1611" s="59"/>
      <c r="J1611" s="63"/>
      <c r="K1611" s="59"/>
    </row>
    <row r="1612" outlineLevel="1" spans="1:11">
      <c r="A1612" s="24"/>
      <c r="B1612" s="134" t="str">
        <f t="shared" si="45"/>
        <v>1164</v>
      </c>
      <c r="C1612" s="63"/>
      <c r="D1612" s="59"/>
      <c r="E1612" s="59"/>
      <c r="F1612" s="59"/>
      <c r="G1612" s="59"/>
      <c r="H1612" s="59"/>
      <c r="I1612" s="59"/>
      <c r="J1612" s="63"/>
      <c r="K1612" s="59"/>
    </row>
    <row r="1613" outlineLevel="1" spans="1:11">
      <c r="A1613" s="24"/>
      <c r="B1613" s="134" t="str">
        <f t="shared" si="45"/>
        <v>1165</v>
      </c>
      <c r="C1613" s="63"/>
      <c r="D1613" s="59"/>
      <c r="E1613" s="59"/>
      <c r="F1613" s="59"/>
      <c r="G1613" s="59"/>
      <c r="H1613" s="59"/>
      <c r="I1613" s="59"/>
      <c r="J1613" s="63"/>
      <c r="K1613" s="59"/>
    </row>
    <row r="1614" outlineLevel="1" spans="1:11">
      <c r="A1614" s="24"/>
      <c r="B1614" s="134" t="str">
        <f t="shared" si="45"/>
        <v>1166</v>
      </c>
      <c r="C1614" s="63"/>
      <c r="D1614" s="59"/>
      <c r="E1614" s="59"/>
      <c r="F1614" s="59"/>
      <c r="G1614" s="59"/>
      <c r="H1614" s="59"/>
      <c r="I1614" s="59"/>
      <c r="J1614" s="63"/>
      <c r="K1614" s="59"/>
    </row>
    <row r="1615" outlineLevel="1" spans="1:11">
      <c r="A1615" s="24"/>
      <c r="B1615" s="134" t="str">
        <f t="shared" si="45"/>
        <v>1167</v>
      </c>
      <c r="C1615" s="63"/>
      <c r="D1615" s="59"/>
      <c r="E1615" s="59"/>
      <c r="F1615" s="59"/>
      <c r="G1615" s="59"/>
      <c r="H1615" s="59"/>
      <c r="I1615" s="59"/>
      <c r="J1615" s="63"/>
      <c r="K1615" s="59"/>
    </row>
    <row r="1616" outlineLevel="1" spans="1:11">
      <c r="A1616" s="24"/>
      <c r="B1616" s="134" t="str">
        <f t="shared" si="45"/>
        <v>1168</v>
      </c>
      <c r="C1616" s="63"/>
      <c r="D1616" s="59"/>
      <c r="E1616" s="59"/>
      <c r="F1616" s="59"/>
      <c r="G1616" s="59"/>
      <c r="H1616" s="59"/>
      <c r="I1616" s="59"/>
      <c r="J1616" s="63"/>
      <c r="K1616" s="59"/>
    </row>
    <row r="1617" outlineLevel="1" spans="1:11">
      <c r="A1617" s="24"/>
      <c r="B1617" s="134" t="str">
        <f t="shared" si="45"/>
        <v>1169</v>
      </c>
      <c r="C1617" s="63"/>
      <c r="D1617" s="59"/>
      <c r="E1617" s="59"/>
      <c r="F1617" s="59"/>
      <c r="G1617" s="59"/>
      <c r="H1617" s="59"/>
      <c r="I1617" s="59"/>
      <c r="J1617" s="63"/>
      <c r="K1617" s="59"/>
    </row>
    <row r="1618" outlineLevel="1" spans="1:11">
      <c r="A1618" s="24"/>
      <c r="B1618" s="134" t="str">
        <f t="shared" si="45"/>
        <v>116A</v>
      </c>
      <c r="C1618" s="63"/>
      <c r="D1618" s="59"/>
      <c r="E1618" s="59"/>
      <c r="F1618" s="59"/>
      <c r="G1618" s="59"/>
      <c r="H1618" s="59"/>
      <c r="I1618" s="59"/>
      <c r="J1618" s="63"/>
      <c r="K1618" s="59"/>
    </row>
    <row r="1619" outlineLevel="1" spans="1:11">
      <c r="A1619" s="24"/>
      <c r="B1619" s="134" t="str">
        <f t="shared" si="45"/>
        <v>116B</v>
      </c>
      <c r="C1619" s="63"/>
      <c r="D1619" s="59"/>
      <c r="E1619" s="59"/>
      <c r="F1619" s="59"/>
      <c r="G1619" s="59"/>
      <c r="H1619" s="59"/>
      <c r="I1619" s="59"/>
      <c r="J1619" s="63"/>
      <c r="K1619" s="59"/>
    </row>
    <row r="1620" outlineLevel="1" spans="1:11">
      <c r="A1620" s="24"/>
      <c r="B1620" s="134" t="str">
        <f t="shared" si="45"/>
        <v>116C</v>
      </c>
      <c r="C1620" s="63"/>
      <c r="D1620" s="59"/>
      <c r="E1620" s="59"/>
      <c r="F1620" s="59"/>
      <c r="G1620" s="59"/>
      <c r="H1620" s="59"/>
      <c r="I1620" s="59"/>
      <c r="J1620" s="63"/>
      <c r="K1620" s="59"/>
    </row>
    <row r="1621" outlineLevel="1" spans="1:11">
      <c r="A1621" s="24"/>
      <c r="B1621" s="134" t="str">
        <f t="shared" si="45"/>
        <v>116D</v>
      </c>
      <c r="C1621" s="63"/>
      <c r="D1621" s="59"/>
      <c r="E1621" s="59"/>
      <c r="F1621" s="59"/>
      <c r="G1621" s="59"/>
      <c r="H1621" s="59"/>
      <c r="I1621" s="59"/>
      <c r="J1621" s="63"/>
      <c r="K1621" s="59"/>
    </row>
    <row r="1622" outlineLevel="1" spans="1:11">
      <c r="A1622" s="24"/>
      <c r="B1622" s="134" t="str">
        <f t="shared" si="45"/>
        <v>116E</v>
      </c>
      <c r="C1622" s="63"/>
      <c r="D1622" s="59"/>
      <c r="E1622" s="59"/>
      <c r="F1622" s="59"/>
      <c r="G1622" s="59"/>
      <c r="H1622" s="59"/>
      <c r="I1622" s="59"/>
      <c r="J1622" s="63"/>
      <c r="K1622" s="59"/>
    </row>
    <row r="1623" outlineLevel="1" spans="1:11">
      <c r="A1623" s="24"/>
      <c r="B1623" s="134" t="str">
        <f t="shared" si="45"/>
        <v>116F</v>
      </c>
      <c r="C1623" s="63"/>
      <c r="D1623" s="59"/>
      <c r="E1623" s="59"/>
      <c r="F1623" s="59"/>
      <c r="G1623" s="59"/>
      <c r="H1623" s="59"/>
      <c r="I1623" s="59"/>
      <c r="J1623" s="63"/>
      <c r="K1623" s="59"/>
    </row>
    <row r="1624" outlineLevel="1" spans="1:11">
      <c r="A1624" s="24"/>
      <c r="B1624" s="134" t="str">
        <f t="shared" si="45"/>
        <v>1170</v>
      </c>
      <c r="C1624" s="63"/>
      <c r="D1624" s="59"/>
      <c r="E1624" s="59"/>
      <c r="F1624" s="59"/>
      <c r="G1624" s="59"/>
      <c r="H1624" s="59"/>
      <c r="I1624" s="59"/>
      <c r="J1624" s="63"/>
      <c r="K1624" s="59"/>
    </row>
    <row r="1625" outlineLevel="1" spans="1:11">
      <c r="A1625" s="24"/>
      <c r="B1625" s="134" t="str">
        <f t="shared" si="45"/>
        <v>1171</v>
      </c>
      <c r="C1625" s="63"/>
      <c r="D1625" s="59"/>
      <c r="E1625" s="59"/>
      <c r="F1625" s="59"/>
      <c r="G1625" s="59"/>
      <c r="H1625" s="59"/>
      <c r="I1625" s="59"/>
      <c r="J1625" s="63"/>
      <c r="K1625" s="59"/>
    </row>
    <row r="1626" outlineLevel="1" spans="1:11">
      <c r="A1626" s="24"/>
      <c r="B1626" s="134" t="str">
        <f t="shared" si="45"/>
        <v>1172</v>
      </c>
      <c r="C1626" s="63"/>
      <c r="D1626" s="59"/>
      <c r="E1626" s="59"/>
      <c r="F1626" s="59"/>
      <c r="G1626" s="59"/>
      <c r="H1626" s="59"/>
      <c r="I1626" s="59"/>
      <c r="J1626" s="63"/>
      <c r="K1626" s="59"/>
    </row>
    <row r="1627" outlineLevel="1" spans="1:11">
      <c r="A1627" s="24"/>
      <c r="B1627" s="134" t="str">
        <f t="shared" si="45"/>
        <v>1173</v>
      </c>
      <c r="C1627" s="63"/>
      <c r="D1627" s="59"/>
      <c r="E1627" s="59"/>
      <c r="F1627" s="59"/>
      <c r="G1627" s="59"/>
      <c r="H1627" s="59"/>
      <c r="I1627" s="59"/>
      <c r="J1627" s="63"/>
      <c r="K1627" s="59"/>
    </row>
    <row r="1628" outlineLevel="1" spans="1:11">
      <c r="A1628" s="24"/>
      <c r="B1628" s="134" t="str">
        <f t="shared" si="45"/>
        <v>1174</v>
      </c>
      <c r="C1628" s="63"/>
      <c r="D1628" s="59"/>
      <c r="E1628" s="59"/>
      <c r="F1628" s="59"/>
      <c r="G1628" s="59"/>
      <c r="H1628" s="59"/>
      <c r="I1628" s="59"/>
      <c r="J1628" s="63"/>
      <c r="K1628" s="59"/>
    </row>
    <row r="1629" outlineLevel="1" spans="1:11">
      <c r="A1629" s="24"/>
      <c r="B1629" s="134" t="str">
        <f t="shared" si="45"/>
        <v>1175</v>
      </c>
      <c r="C1629" s="63"/>
      <c r="D1629" s="59"/>
      <c r="E1629" s="59"/>
      <c r="F1629" s="59"/>
      <c r="G1629" s="59"/>
      <c r="H1629" s="59"/>
      <c r="I1629" s="59"/>
      <c r="J1629" s="63"/>
      <c r="K1629" s="59"/>
    </row>
    <row r="1630" outlineLevel="1" spans="1:11">
      <c r="A1630" s="24"/>
      <c r="B1630" s="134" t="str">
        <f t="shared" si="45"/>
        <v>1176</v>
      </c>
      <c r="C1630" s="63"/>
      <c r="D1630" s="59"/>
      <c r="E1630" s="59"/>
      <c r="F1630" s="59"/>
      <c r="G1630" s="59"/>
      <c r="H1630" s="59"/>
      <c r="I1630" s="59"/>
      <c r="J1630" s="63"/>
      <c r="K1630" s="59"/>
    </row>
    <row r="1631" outlineLevel="1" spans="1:11">
      <c r="A1631" s="24"/>
      <c r="B1631" s="134" t="str">
        <f t="shared" si="45"/>
        <v>1177</v>
      </c>
      <c r="C1631" s="63"/>
      <c r="D1631" s="59"/>
      <c r="E1631" s="59"/>
      <c r="F1631" s="59"/>
      <c r="G1631" s="59"/>
      <c r="H1631" s="59"/>
      <c r="I1631" s="59"/>
      <c r="J1631" s="63"/>
      <c r="K1631" s="59"/>
    </row>
    <row r="1632" outlineLevel="1" spans="1:11">
      <c r="A1632" s="24"/>
      <c r="B1632" s="134" t="str">
        <f t="shared" si="45"/>
        <v>1178</v>
      </c>
      <c r="C1632" s="63"/>
      <c r="D1632" s="59"/>
      <c r="E1632" s="59"/>
      <c r="F1632" s="59"/>
      <c r="G1632" s="59"/>
      <c r="H1632" s="59"/>
      <c r="I1632" s="59"/>
      <c r="J1632" s="63"/>
      <c r="K1632" s="59"/>
    </row>
    <row r="1633" outlineLevel="1" spans="1:11">
      <c r="A1633" s="24"/>
      <c r="B1633" s="134" t="str">
        <f t="shared" si="45"/>
        <v>1179</v>
      </c>
      <c r="C1633" s="63"/>
      <c r="D1633" s="59"/>
      <c r="E1633" s="59"/>
      <c r="F1633" s="59"/>
      <c r="G1633" s="59"/>
      <c r="H1633" s="59"/>
      <c r="I1633" s="59"/>
      <c r="J1633" s="63"/>
      <c r="K1633" s="59"/>
    </row>
    <row r="1634" outlineLevel="1" spans="1:11">
      <c r="A1634" s="24"/>
      <c r="B1634" s="134" t="str">
        <f t="shared" si="45"/>
        <v>117A</v>
      </c>
      <c r="C1634" s="63"/>
      <c r="D1634" s="59"/>
      <c r="E1634" s="59"/>
      <c r="F1634" s="59"/>
      <c r="G1634" s="59"/>
      <c r="H1634" s="59"/>
      <c r="I1634" s="59"/>
      <c r="J1634" s="63"/>
      <c r="K1634" s="59"/>
    </row>
    <row r="1635" outlineLevel="1" spans="1:11">
      <c r="A1635" s="24"/>
      <c r="B1635" s="134" t="str">
        <f t="shared" si="45"/>
        <v>117B</v>
      </c>
      <c r="C1635" s="63"/>
      <c r="D1635" s="59"/>
      <c r="E1635" s="59"/>
      <c r="F1635" s="59"/>
      <c r="G1635" s="59"/>
      <c r="H1635" s="59"/>
      <c r="I1635" s="59"/>
      <c r="J1635" s="63"/>
      <c r="K1635" s="59"/>
    </row>
    <row r="1636" outlineLevel="1" spans="1:11">
      <c r="A1636" s="24"/>
      <c r="B1636" s="134" t="str">
        <f t="shared" si="45"/>
        <v>117C</v>
      </c>
      <c r="C1636" s="63"/>
      <c r="D1636" s="59"/>
      <c r="E1636" s="59"/>
      <c r="F1636" s="59"/>
      <c r="G1636" s="59"/>
      <c r="H1636" s="59"/>
      <c r="I1636" s="59"/>
      <c r="J1636" s="63"/>
      <c r="K1636" s="59"/>
    </row>
    <row r="1637" outlineLevel="1" spans="1:11">
      <c r="A1637" s="24"/>
      <c r="B1637" s="134" t="str">
        <f t="shared" si="45"/>
        <v>117D</v>
      </c>
      <c r="C1637" s="63"/>
      <c r="D1637" s="59"/>
      <c r="E1637" s="59"/>
      <c r="F1637" s="59"/>
      <c r="G1637" s="59"/>
      <c r="H1637" s="59"/>
      <c r="I1637" s="59"/>
      <c r="J1637" s="63"/>
      <c r="K1637" s="59"/>
    </row>
    <row r="1638" outlineLevel="1" spans="1:11">
      <c r="A1638" s="24"/>
      <c r="B1638" s="134" t="str">
        <f t="shared" si="45"/>
        <v>117E</v>
      </c>
      <c r="C1638" s="67"/>
      <c r="D1638" s="24"/>
      <c r="E1638" s="24"/>
      <c r="F1638" s="24"/>
      <c r="G1638" s="24"/>
      <c r="H1638" s="24"/>
      <c r="I1638" s="24"/>
      <c r="J1638" s="67"/>
      <c r="K1638" s="24"/>
    </row>
    <row r="1639" outlineLevel="1" spans="1:11">
      <c r="A1639" s="24"/>
      <c r="B1639" s="134" t="str">
        <f t="shared" si="45"/>
        <v>117F</v>
      </c>
      <c r="C1639" s="67"/>
      <c r="D1639" s="24"/>
      <c r="E1639" s="24"/>
      <c r="F1639" s="24"/>
      <c r="G1639" s="24"/>
      <c r="H1639" s="24"/>
      <c r="I1639" s="24"/>
      <c r="J1639" s="67"/>
      <c r="K1639" s="24"/>
    </row>
    <row r="1640" outlineLevel="1" spans="1:11">
      <c r="A1640" s="24"/>
      <c r="B1640" s="134" t="str">
        <f t="shared" si="45"/>
        <v>1180</v>
      </c>
      <c r="C1640" s="63" t="s">
        <v>1726</v>
      </c>
      <c r="D1640" s="59" t="s">
        <v>59</v>
      </c>
      <c r="E1640" s="59"/>
      <c r="F1640" s="59"/>
      <c r="G1640" s="59"/>
      <c r="H1640" s="59"/>
      <c r="I1640" s="59" t="s">
        <v>38</v>
      </c>
      <c r="J1640" s="63" t="s">
        <v>568</v>
      </c>
      <c r="K1640" s="24" t="s">
        <v>61</v>
      </c>
    </row>
    <row r="1641" outlineLevel="1" spans="1:11">
      <c r="A1641" s="24"/>
      <c r="B1641" s="134" t="str">
        <f t="shared" si="45"/>
        <v>1181</v>
      </c>
      <c r="C1641" s="63"/>
      <c r="D1641" s="59"/>
      <c r="E1641" s="59"/>
      <c r="F1641" s="59"/>
      <c r="G1641" s="59"/>
      <c r="H1641" s="59"/>
      <c r="I1641" s="59"/>
      <c r="J1641" s="63"/>
      <c r="K1641" s="24" t="s">
        <v>61</v>
      </c>
    </row>
    <row r="1642" outlineLevel="1" spans="1:11">
      <c r="A1642" s="24"/>
      <c r="B1642" s="134" t="str">
        <f t="shared" ref="B1642:B1705" si="46">DEC2HEX(4352+ROW()-ROW($B$1512),4)</f>
        <v>1182</v>
      </c>
      <c r="C1642" s="63"/>
      <c r="D1642" s="59"/>
      <c r="E1642" s="59"/>
      <c r="F1642" s="59"/>
      <c r="G1642" s="59"/>
      <c r="H1642" s="59"/>
      <c r="I1642" s="59"/>
      <c r="J1642" s="63"/>
      <c r="K1642" s="24" t="s">
        <v>61</v>
      </c>
    </row>
    <row r="1643" ht="81" customHeight="1" outlineLevel="1" spans="1:11">
      <c r="A1643" s="24"/>
      <c r="B1643" s="134" t="str">
        <f t="shared" si="46"/>
        <v>1183</v>
      </c>
      <c r="C1643" s="63"/>
      <c r="D1643" s="59"/>
      <c r="E1643" s="59"/>
      <c r="F1643" s="59"/>
      <c r="G1643" s="59"/>
      <c r="H1643" s="59"/>
      <c r="I1643" s="59"/>
      <c r="J1643" s="63"/>
      <c r="K1643" s="24" t="s">
        <v>61</v>
      </c>
    </row>
    <row r="1644" ht="128.25" outlineLevel="1" spans="1:11">
      <c r="A1644" s="24"/>
      <c r="B1644" s="134" t="str">
        <f t="shared" si="46"/>
        <v>1184</v>
      </c>
      <c r="C1644" s="63" t="s">
        <v>1727</v>
      </c>
      <c r="D1644" s="59" t="s">
        <v>89</v>
      </c>
      <c r="E1644" s="59">
        <v>1</v>
      </c>
      <c r="F1644" s="59" t="s">
        <v>1069</v>
      </c>
      <c r="G1644" s="59">
        <v>0</v>
      </c>
      <c r="H1644" s="59">
        <v>65535</v>
      </c>
      <c r="I1644" s="59" t="s">
        <v>1070</v>
      </c>
      <c r="J1644" s="63" t="s">
        <v>1728</v>
      </c>
      <c r="K1644" s="59" t="s">
        <v>61</v>
      </c>
    </row>
    <row r="1645" ht="57" outlineLevel="1" spans="1:11">
      <c r="A1645" s="24"/>
      <c r="B1645" s="134" t="str">
        <f t="shared" si="46"/>
        <v>1185</v>
      </c>
      <c r="C1645" s="63" t="s">
        <v>1729</v>
      </c>
      <c r="D1645" s="59" t="s">
        <v>89</v>
      </c>
      <c r="E1645" s="59"/>
      <c r="F1645" s="59"/>
      <c r="G1645" s="59">
        <v>0</v>
      </c>
      <c r="H1645" s="59">
        <v>1</v>
      </c>
      <c r="I1645" s="59" t="s">
        <v>1070</v>
      </c>
      <c r="J1645" s="63" t="s">
        <v>1730</v>
      </c>
      <c r="K1645" s="59" t="s">
        <v>61</v>
      </c>
    </row>
    <row r="1646" outlineLevel="1" spans="1:11">
      <c r="A1646" s="24"/>
      <c r="B1646" s="134" t="str">
        <f t="shared" si="46"/>
        <v>1186</v>
      </c>
      <c r="C1646" s="63" t="s">
        <v>1731</v>
      </c>
      <c r="D1646" s="59"/>
      <c r="E1646" s="59"/>
      <c r="F1646" s="59"/>
      <c r="G1646" s="59"/>
      <c r="H1646" s="59"/>
      <c r="I1646" s="59"/>
      <c r="J1646" s="63" t="s">
        <v>1732</v>
      </c>
      <c r="K1646" s="59" t="s">
        <v>61</v>
      </c>
    </row>
    <row r="1647" ht="21.75" customHeight="1" outlineLevel="1" spans="1:11">
      <c r="A1647" s="24"/>
      <c r="B1647" s="134" t="str">
        <f t="shared" si="46"/>
        <v>1187</v>
      </c>
      <c r="C1647" s="63" t="s">
        <v>1733</v>
      </c>
      <c r="D1647" s="59" t="s">
        <v>1734</v>
      </c>
      <c r="E1647" s="59">
        <v>1</v>
      </c>
      <c r="F1647" s="59" t="s">
        <v>41</v>
      </c>
      <c r="G1647" s="59">
        <v>-2147483648</v>
      </c>
      <c r="H1647" s="60">
        <v>2147483647</v>
      </c>
      <c r="I1647" s="59" t="s">
        <v>1070</v>
      </c>
      <c r="J1647" s="63" t="s">
        <v>1735</v>
      </c>
      <c r="K1647" s="59" t="s">
        <v>61</v>
      </c>
    </row>
    <row r="1648" ht="91" customHeight="1" outlineLevel="1" spans="1:11">
      <c r="A1648" s="24"/>
      <c r="B1648" s="134" t="str">
        <f t="shared" si="46"/>
        <v>1188</v>
      </c>
      <c r="C1648" s="63"/>
      <c r="D1648" s="59"/>
      <c r="E1648" s="59"/>
      <c r="F1648" s="59"/>
      <c r="G1648" s="59"/>
      <c r="H1648" s="60"/>
      <c r="I1648" s="59"/>
      <c r="J1648" s="63"/>
      <c r="K1648" s="59" t="s">
        <v>61</v>
      </c>
    </row>
    <row r="1649" ht="23.25" customHeight="1" outlineLevel="1" spans="1:11">
      <c r="A1649" s="24"/>
      <c r="B1649" s="134" t="str">
        <f t="shared" si="46"/>
        <v>1189</v>
      </c>
      <c r="C1649" s="63" t="s">
        <v>1736</v>
      </c>
      <c r="D1649" s="59" t="s">
        <v>1734</v>
      </c>
      <c r="E1649" s="59">
        <v>1</v>
      </c>
      <c r="F1649" s="59" t="s">
        <v>41</v>
      </c>
      <c r="G1649" s="59">
        <v>-2147483648</v>
      </c>
      <c r="H1649" s="60">
        <v>2147483647</v>
      </c>
      <c r="I1649" s="59" t="s">
        <v>1070</v>
      </c>
      <c r="J1649" s="63" t="s">
        <v>1737</v>
      </c>
      <c r="K1649" s="59" t="s">
        <v>61</v>
      </c>
    </row>
    <row r="1650" ht="40" customHeight="1" outlineLevel="1" spans="1:11">
      <c r="A1650" s="24"/>
      <c r="B1650" s="134" t="str">
        <f t="shared" si="46"/>
        <v>118A</v>
      </c>
      <c r="C1650" s="63"/>
      <c r="D1650" s="59"/>
      <c r="E1650" s="59"/>
      <c r="F1650" s="59"/>
      <c r="G1650" s="59"/>
      <c r="H1650" s="60"/>
      <c r="I1650" s="59"/>
      <c r="J1650" s="63"/>
      <c r="K1650" s="59" t="s">
        <v>61</v>
      </c>
    </row>
    <row r="1651" ht="24.75" customHeight="1" outlineLevel="1" spans="1:11">
      <c r="A1651" s="24"/>
      <c r="B1651" s="134" t="str">
        <f t="shared" si="46"/>
        <v>118B</v>
      </c>
      <c r="C1651" s="63" t="s">
        <v>1738</v>
      </c>
      <c r="D1651" s="59" t="s">
        <v>1734</v>
      </c>
      <c r="E1651" s="59">
        <v>1</v>
      </c>
      <c r="F1651" s="59" t="s">
        <v>41</v>
      </c>
      <c r="G1651" s="59">
        <v>-2147483648</v>
      </c>
      <c r="H1651" s="60">
        <v>2147483647</v>
      </c>
      <c r="I1651" s="59" t="s">
        <v>1070</v>
      </c>
      <c r="J1651" s="63" t="s">
        <v>1739</v>
      </c>
      <c r="K1651" s="59" t="s">
        <v>61</v>
      </c>
    </row>
    <row r="1652" ht="49" customHeight="1" outlineLevel="1" spans="1:11">
      <c r="A1652" s="24"/>
      <c r="B1652" s="134" t="str">
        <f t="shared" si="46"/>
        <v>118C</v>
      </c>
      <c r="C1652" s="63"/>
      <c r="D1652" s="59"/>
      <c r="E1652" s="59"/>
      <c r="F1652" s="59"/>
      <c r="G1652" s="59"/>
      <c r="H1652" s="60"/>
      <c r="I1652" s="59"/>
      <c r="J1652" s="63"/>
      <c r="K1652" s="59" t="s">
        <v>61</v>
      </c>
    </row>
    <row r="1653" ht="22.5" customHeight="1" outlineLevel="1" spans="1:11">
      <c r="A1653" s="24"/>
      <c r="B1653" s="134" t="str">
        <f t="shared" si="46"/>
        <v>118D</v>
      </c>
      <c r="C1653" s="63" t="s">
        <v>1740</v>
      </c>
      <c r="D1653" s="59" t="s">
        <v>1734</v>
      </c>
      <c r="E1653" s="59">
        <v>1</v>
      </c>
      <c r="F1653" s="59" t="s">
        <v>41</v>
      </c>
      <c r="G1653" s="59">
        <v>-2147483648</v>
      </c>
      <c r="H1653" s="60">
        <v>2147483647</v>
      </c>
      <c r="I1653" s="59" t="s">
        <v>1070</v>
      </c>
      <c r="J1653" s="63" t="s">
        <v>1741</v>
      </c>
      <c r="K1653" s="59" t="s">
        <v>61</v>
      </c>
    </row>
    <row r="1654" ht="75" customHeight="1" outlineLevel="1" spans="1:11">
      <c r="A1654" s="24"/>
      <c r="B1654" s="134" t="str">
        <f t="shared" si="46"/>
        <v>118E</v>
      </c>
      <c r="C1654" s="63"/>
      <c r="D1654" s="59"/>
      <c r="E1654" s="59"/>
      <c r="F1654" s="59"/>
      <c r="G1654" s="59"/>
      <c r="H1654" s="60"/>
      <c r="I1654" s="59"/>
      <c r="J1654" s="63"/>
      <c r="K1654" s="59" t="s">
        <v>61</v>
      </c>
    </row>
    <row r="1655" ht="21.75" customHeight="1" outlineLevel="1" spans="1:11">
      <c r="A1655" s="24"/>
      <c r="B1655" s="134" t="str">
        <f t="shared" si="46"/>
        <v>118F</v>
      </c>
      <c r="C1655" s="63" t="s">
        <v>1742</v>
      </c>
      <c r="D1655" s="59" t="s">
        <v>1734</v>
      </c>
      <c r="E1655" s="59">
        <v>1</v>
      </c>
      <c r="F1655" s="59" t="s">
        <v>41</v>
      </c>
      <c r="G1655" s="59">
        <v>-2147483648</v>
      </c>
      <c r="H1655" s="60">
        <v>2147483647</v>
      </c>
      <c r="I1655" s="59" t="s">
        <v>1070</v>
      </c>
      <c r="J1655" s="63" t="s">
        <v>1743</v>
      </c>
      <c r="K1655" s="59" t="s">
        <v>61</v>
      </c>
    </row>
    <row r="1656" ht="84" customHeight="1" outlineLevel="1" spans="1:11">
      <c r="A1656" s="24"/>
      <c r="B1656" s="134" t="str">
        <f t="shared" si="46"/>
        <v>1190</v>
      </c>
      <c r="C1656" s="63"/>
      <c r="D1656" s="59"/>
      <c r="E1656" s="59"/>
      <c r="F1656" s="59"/>
      <c r="G1656" s="59"/>
      <c r="H1656" s="60"/>
      <c r="I1656" s="59"/>
      <c r="J1656" s="63"/>
      <c r="K1656" s="59" t="s">
        <v>61</v>
      </c>
    </row>
    <row r="1657" ht="30.75" customHeight="1" outlineLevel="1" spans="1:11">
      <c r="A1657" s="24"/>
      <c r="B1657" s="134" t="str">
        <f t="shared" si="46"/>
        <v>1191</v>
      </c>
      <c r="C1657" s="63" t="s">
        <v>1744</v>
      </c>
      <c r="D1657" s="59" t="s">
        <v>1734</v>
      </c>
      <c r="E1657" s="59">
        <v>1</v>
      </c>
      <c r="F1657" s="59" t="s">
        <v>41</v>
      </c>
      <c r="G1657" s="59">
        <v>-2147483648</v>
      </c>
      <c r="H1657" s="60">
        <v>2147483647</v>
      </c>
      <c r="I1657" s="59" t="s">
        <v>1070</v>
      </c>
      <c r="J1657" s="63" t="s">
        <v>1745</v>
      </c>
      <c r="K1657" s="59" t="s">
        <v>61</v>
      </c>
    </row>
    <row r="1658" ht="106" customHeight="1" outlineLevel="1" spans="1:11">
      <c r="A1658" s="24"/>
      <c r="B1658" s="134" t="str">
        <f t="shared" si="46"/>
        <v>1192</v>
      </c>
      <c r="C1658" s="63"/>
      <c r="D1658" s="59"/>
      <c r="E1658" s="59"/>
      <c r="F1658" s="59"/>
      <c r="G1658" s="59"/>
      <c r="H1658" s="60"/>
      <c r="I1658" s="59"/>
      <c r="J1658" s="63"/>
      <c r="K1658" s="59" t="s">
        <v>61</v>
      </c>
    </row>
    <row r="1659" ht="36.75" customHeight="1" outlineLevel="1" spans="1:11">
      <c r="A1659" s="24"/>
      <c r="B1659" s="134" t="str">
        <f t="shared" si="46"/>
        <v>1193</v>
      </c>
      <c r="C1659" s="63" t="s">
        <v>1746</v>
      </c>
      <c r="D1659" s="59" t="s">
        <v>1734</v>
      </c>
      <c r="E1659" s="59">
        <v>1</v>
      </c>
      <c r="F1659" s="59" t="s">
        <v>41</v>
      </c>
      <c r="G1659" s="59">
        <v>-2147483648</v>
      </c>
      <c r="H1659" s="60">
        <v>2147483647</v>
      </c>
      <c r="I1659" s="59" t="s">
        <v>1070</v>
      </c>
      <c r="J1659" s="63" t="s">
        <v>1747</v>
      </c>
      <c r="K1659" s="59" t="s">
        <v>61</v>
      </c>
    </row>
    <row r="1660" ht="113" customHeight="1" outlineLevel="1" spans="1:11">
      <c r="A1660" s="24"/>
      <c r="B1660" s="134" t="str">
        <f t="shared" si="46"/>
        <v>1194</v>
      </c>
      <c r="C1660" s="63"/>
      <c r="D1660" s="59"/>
      <c r="E1660" s="59"/>
      <c r="F1660" s="59"/>
      <c r="G1660" s="59"/>
      <c r="H1660" s="60"/>
      <c r="I1660" s="59"/>
      <c r="J1660" s="63"/>
      <c r="K1660" s="59" t="s">
        <v>61</v>
      </c>
    </row>
    <row r="1661" ht="36.75" customHeight="1" outlineLevel="1" spans="1:11">
      <c r="A1661" s="24"/>
      <c r="B1661" s="134" t="str">
        <f t="shared" si="46"/>
        <v>1195</v>
      </c>
      <c r="C1661" s="63" t="s">
        <v>1748</v>
      </c>
      <c r="D1661" s="59" t="s">
        <v>1734</v>
      </c>
      <c r="E1661" s="59">
        <v>1</v>
      </c>
      <c r="F1661" s="59" t="s">
        <v>41</v>
      </c>
      <c r="G1661" s="59">
        <v>-2147483648</v>
      </c>
      <c r="H1661" s="60">
        <v>2147483647</v>
      </c>
      <c r="I1661" s="59" t="s">
        <v>1070</v>
      </c>
      <c r="J1661" s="63" t="s">
        <v>1749</v>
      </c>
      <c r="K1661" s="59" t="s">
        <v>61</v>
      </c>
    </row>
    <row r="1662" ht="114" customHeight="1" outlineLevel="1" spans="1:11">
      <c r="A1662" s="24"/>
      <c r="B1662" s="134" t="str">
        <f t="shared" si="46"/>
        <v>1196</v>
      </c>
      <c r="C1662" s="63"/>
      <c r="D1662" s="59"/>
      <c r="E1662" s="59"/>
      <c r="F1662" s="59"/>
      <c r="G1662" s="59"/>
      <c r="H1662" s="60"/>
      <c r="I1662" s="59"/>
      <c r="J1662" s="63"/>
      <c r="K1662" s="59" t="s">
        <v>61</v>
      </c>
    </row>
    <row r="1663" ht="33.75" customHeight="1" outlineLevel="1" spans="1:11">
      <c r="A1663" s="24"/>
      <c r="B1663" s="134" t="str">
        <f t="shared" si="46"/>
        <v>1197</v>
      </c>
      <c r="C1663" s="63" t="s">
        <v>1750</v>
      </c>
      <c r="D1663" s="59" t="s">
        <v>1734</v>
      </c>
      <c r="E1663" s="59">
        <v>1</v>
      </c>
      <c r="F1663" s="59" t="s">
        <v>41</v>
      </c>
      <c r="G1663" s="59">
        <v>-2147483648</v>
      </c>
      <c r="H1663" s="60">
        <v>2147483647</v>
      </c>
      <c r="I1663" s="59" t="s">
        <v>1070</v>
      </c>
      <c r="J1663" s="63" t="s">
        <v>1751</v>
      </c>
      <c r="K1663" s="59" t="s">
        <v>61</v>
      </c>
    </row>
    <row r="1664" ht="102" customHeight="1" outlineLevel="1" spans="1:11">
      <c r="A1664" s="24"/>
      <c r="B1664" s="134" t="str">
        <f t="shared" si="46"/>
        <v>1198</v>
      </c>
      <c r="C1664" s="63"/>
      <c r="D1664" s="59"/>
      <c r="E1664" s="59"/>
      <c r="F1664" s="59"/>
      <c r="G1664" s="59"/>
      <c r="H1664" s="60"/>
      <c r="I1664" s="59"/>
      <c r="J1664" s="63"/>
      <c r="K1664" s="59" t="s">
        <v>61</v>
      </c>
    </row>
    <row r="1665" ht="28.5" customHeight="1" outlineLevel="1" spans="1:11">
      <c r="A1665" s="24"/>
      <c r="B1665" s="134" t="str">
        <f t="shared" si="46"/>
        <v>1199</v>
      </c>
      <c r="C1665" s="63" t="s">
        <v>1752</v>
      </c>
      <c r="D1665" s="59" t="s">
        <v>1734</v>
      </c>
      <c r="E1665" s="59">
        <v>1</v>
      </c>
      <c r="F1665" s="59" t="s">
        <v>41</v>
      </c>
      <c r="G1665" s="59">
        <v>-2147483648</v>
      </c>
      <c r="H1665" s="60">
        <v>2147483647</v>
      </c>
      <c r="I1665" s="59" t="s">
        <v>1070</v>
      </c>
      <c r="J1665" s="63" t="s">
        <v>1753</v>
      </c>
      <c r="K1665" s="59" t="s">
        <v>61</v>
      </c>
    </row>
    <row r="1666" ht="105" customHeight="1" outlineLevel="1" spans="1:11">
      <c r="A1666" s="24"/>
      <c r="B1666" s="134" t="str">
        <f t="shared" si="46"/>
        <v>119A</v>
      </c>
      <c r="C1666" s="63"/>
      <c r="D1666" s="59"/>
      <c r="E1666" s="59"/>
      <c r="F1666" s="59"/>
      <c r="G1666" s="59"/>
      <c r="H1666" s="60"/>
      <c r="I1666" s="59"/>
      <c r="J1666" s="63"/>
      <c r="K1666" s="59" t="s">
        <v>61</v>
      </c>
    </row>
    <row r="1667" ht="27.75" customHeight="1" outlineLevel="1" spans="1:11">
      <c r="A1667" s="24"/>
      <c r="B1667" s="134" t="str">
        <f t="shared" si="46"/>
        <v>119B</v>
      </c>
      <c r="C1667" s="63" t="s">
        <v>1754</v>
      </c>
      <c r="D1667" s="59" t="s">
        <v>1734</v>
      </c>
      <c r="E1667" s="59">
        <v>1</v>
      </c>
      <c r="F1667" s="59" t="s">
        <v>41</v>
      </c>
      <c r="G1667" s="59">
        <v>-2147483648</v>
      </c>
      <c r="H1667" s="60">
        <v>2147483647</v>
      </c>
      <c r="I1667" s="59" t="s">
        <v>1070</v>
      </c>
      <c r="J1667" s="63" t="s">
        <v>1755</v>
      </c>
      <c r="K1667" s="59" t="s">
        <v>61</v>
      </c>
    </row>
    <row r="1668" ht="114" customHeight="1" outlineLevel="1" spans="1:11">
      <c r="A1668" s="24"/>
      <c r="B1668" s="134" t="str">
        <f t="shared" si="46"/>
        <v>119C</v>
      </c>
      <c r="C1668" s="63"/>
      <c r="D1668" s="59"/>
      <c r="E1668" s="59"/>
      <c r="F1668" s="59"/>
      <c r="G1668" s="59"/>
      <c r="H1668" s="60"/>
      <c r="I1668" s="59"/>
      <c r="J1668" s="63"/>
      <c r="K1668" s="59" t="s">
        <v>61</v>
      </c>
    </row>
    <row r="1669" ht="36" customHeight="1" outlineLevel="1" spans="1:11">
      <c r="A1669" s="24"/>
      <c r="B1669" s="134" t="str">
        <f t="shared" si="46"/>
        <v>119D</v>
      </c>
      <c r="C1669" s="63" t="s">
        <v>1756</v>
      </c>
      <c r="D1669" s="59" t="s">
        <v>1734</v>
      </c>
      <c r="E1669" s="59">
        <v>1</v>
      </c>
      <c r="F1669" s="59" t="s">
        <v>41</v>
      </c>
      <c r="G1669" s="59">
        <v>-2147483648</v>
      </c>
      <c r="H1669" s="60">
        <v>2147483647</v>
      </c>
      <c r="I1669" s="59" t="s">
        <v>1070</v>
      </c>
      <c r="J1669" s="63" t="s">
        <v>1757</v>
      </c>
      <c r="K1669" s="59" t="s">
        <v>61</v>
      </c>
    </row>
    <row r="1670" ht="108" customHeight="1" outlineLevel="1" spans="1:11">
      <c r="A1670" s="24"/>
      <c r="B1670" s="134" t="str">
        <f t="shared" si="46"/>
        <v>119E</v>
      </c>
      <c r="C1670" s="63"/>
      <c r="D1670" s="59"/>
      <c r="E1670" s="59"/>
      <c r="F1670" s="59"/>
      <c r="G1670" s="59"/>
      <c r="H1670" s="60"/>
      <c r="I1670" s="59"/>
      <c r="J1670" s="63"/>
      <c r="K1670" s="59" t="s">
        <v>61</v>
      </c>
    </row>
    <row r="1671" ht="37.5" customHeight="1" outlineLevel="1" spans="1:11">
      <c r="A1671" s="24"/>
      <c r="B1671" s="134" t="str">
        <f t="shared" si="46"/>
        <v>119F</v>
      </c>
      <c r="C1671" s="63" t="s">
        <v>1758</v>
      </c>
      <c r="D1671" s="59" t="s">
        <v>1734</v>
      </c>
      <c r="E1671" s="59">
        <v>1</v>
      </c>
      <c r="F1671" s="59" t="s">
        <v>41</v>
      </c>
      <c r="G1671" s="59">
        <v>-2147483648</v>
      </c>
      <c r="H1671" s="60">
        <v>2147483647</v>
      </c>
      <c r="I1671" s="59" t="s">
        <v>1070</v>
      </c>
      <c r="J1671" s="63" t="s">
        <v>1759</v>
      </c>
      <c r="K1671" s="59" t="s">
        <v>61</v>
      </c>
    </row>
    <row r="1672" ht="110" customHeight="1" outlineLevel="1" spans="1:11">
      <c r="A1672" s="24"/>
      <c r="B1672" s="134" t="str">
        <f t="shared" si="46"/>
        <v>11A0</v>
      </c>
      <c r="C1672" s="63"/>
      <c r="D1672" s="59"/>
      <c r="E1672" s="59"/>
      <c r="F1672" s="59"/>
      <c r="G1672" s="59"/>
      <c r="H1672" s="60"/>
      <c r="I1672" s="59"/>
      <c r="J1672" s="63"/>
      <c r="K1672" s="59" t="s">
        <v>61</v>
      </c>
    </row>
    <row r="1673" ht="30" customHeight="1" outlineLevel="1" spans="1:11">
      <c r="A1673" s="24"/>
      <c r="B1673" s="134" t="str">
        <f t="shared" si="46"/>
        <v>11A1</v>
      </c>
      <c r="C1673" s="63" t="s">
        <v>1760</v>
      </c>
      <c r="D1673" s="59" t="s">
        <v>1734</v>
      </c>
      <c r="E1673" s="59">
        <v>1</v>
      </c>
      <c r="F1673" s="59" t="s">
        <v>41</v>
      </c>
      <c r="G1673" s="59">
        <v>-2147483648</v>
      </c>
      <c r="H1673" s="60">
        <v>2147483647</v>
      </c>
      <c r="I1673" s="59" t="s">
        <v>1070</v>
      </c>
      <c r="J1673" s="63" t="s">
        <v>1761</v>
      </c>
      <c r="K1673" s="59" t="s">
        <v>61</v>
      </c>
    </row>
    <row r="1674" ht="107" customHeight="1" outlineLevel="1" spans="1:11">
      <c r="A1674" s="24"/>
      <c r="B1674" s="134" t="str">
        <f t="shared" si="46"/>
        <v>11A2</v>
      </c>
      <c r="C1674" s="63"/>
      <c r="D1674" s="59"/>
      <c r="E1674" s="59"/>
      <c r="F1674" s="59"/>
      <c r="G1674" s="59"/>
      <c r="H1674" s="60"/>
      <c r="I1674" s="59"/>
      <c r="J1674" s="63"/>
      <c r="K1674" s="59" t="s">
        <v>61</v>
      </c>
    </row>
    <row r="1675" ht="30.75" customHeight="1" outlineLevel="1" spans="1:11">
      <c r="A1675" s="24"/>
      <c r="B1675" s="134" t="str">
        <f t="shared" si="46"/>
        <v>11A3</v>
      </c>
      <c r="C1675" s="63" t="s">
        <v>1762</v>
      </c>
      <c r="D1675" s="59" t="s">
        <v>1734</v>
      </c>
      <c r="E1675" s="59">
        <v>1</v>
      </c>
      <c r="F1675" s="59" t="s">
        <v>41</v>
      </c>
      <c r="G1675" s="59">
        <v>-2147483648</v>
      </c>
      <c r="H1675" s="60">
        <v>2147483647</v>
      </c>
      <c r="I1675" s="59" t="s">
        <v>1070</v>
      </c>
      <c r="J1675" s="63" t="s">
        <v>1763</v>
      </c>
      <c r="K1675" s="59" t="s">
        <v>61</v>
      </c>
    </row>
    <row r="1676" ht="107" customHeight="1" outlineLevel="1" spans="1:11">
      <c r="A1676" s="24"/>
      <c r="B1676" s="134" t="str">
        <f t="shared" si="46"/>
        <v>11A4</v>
      </c>
      <c r="C1676" s="63"/>
      <c r="D1676" s="59"/>
      <c r="E1676" s="59"/>
      <c r="F1676" s="59"/>
      <c r="G1676" s="59"/>
      <c r="H1676" s="60"/>
      <c r="I1676" s="59"/>
      <c r="J1676" s="63"/>
      <c r="K1676" s="59" t="s">
        <v>61</v>
      </c>
    </row>
    <row r="1677" ht="48" customHeight="1" outlineLevel="1" spans="1:11">
      <c r="A1677" s="24"/>
      <c r="B1677" s="134" t="str">
        <f t="shared" si="46"/>
        <v>11A5</v>
      </c>
      <c r="C1677" s="63" t="s">
        <v>1764</v>
      </c>
      <c r="D1677" s="59" t="s">
        <v>164</v>
      </c>
      <c r="E1677" s="59">
        <v>1</v>
      </c>
      <c r="F1677" s="59" t="s">
        <v>1069</v>
      </c>
      <c r="G1677" s="59">
        <v>0</v>
      </c>
      <c r="H1677" s="60">
        <v>4294967296</v>
      </c>
      <c r="I1677" s="59" t="s">
        <v>1070</v>
      </c>
      <c r="J1677" s="63" t="s">
        <v>1765</v>
      </c>
      <c r="K1677" s="59" t="s">
        <v>61</v>
      </c>
    </row>
    <row r="1678" ht="116" customHeight="1" outlineLevel="1" spans="1:11">
      <c r="A1678" s="24"/>
      <c r="B1678" s="134" t="str">
        <f t="shared" si="46"/>
        <v>11A6</v>
      </c>
      <c r="C1678" s="63"/>
      <c r="D1678" s="59"/>
      <c r="E1678" s="59"/>
      <c r="F1678" s="59"/>
      <c r="G1678" s="59"/>
      <c r="H1678" s="60"/>
      <c r="I1678" s="59"/>
      <c r="J1678" s="63"/>
      <c r="K1678" s="59" t="s">
        <v>61</v>
      </c>
    </row>
    <row r="1679" outlineLevel="1" spans="1:11">
      <c r="A1679" s="24"/>
      <c r="B1679" s="134" t="str">
        <f t="shared" si="46"/>
        <v>11A7</v>
      </c>
      <c r="C1679" s="63" t="s">
        <v>1766</v>
      </c>
      <c r="D1679" s="59" t="s">
        <v>164</v>
      </c>
      <c r="E1679" s="59">
        <v>1</v>
      </c>
      <c r="F1679" s="59" t="s">
        <v>1069</v>
      </c>
      <c r="G1679" s="59">
        <v>0</v>
      </c>
      <c r="H1679" s="60">
        <v>4294967296</v>
      </c>
      <c r="I1679" s="59" t="s">
        <v>1070</v>
      </c>
      <c r="J1679" s="142" t="s">
        <v>1767</v>
      </c>
      <c r="K1679" s="59" t="s">
        <v>61</v>
      </c>
    </row>
    <row r="1680" outlineLevel="1" spans="1:11">
      <c r="A1680" s="24"/>
      <c r="B1680" s="134" t="str">
        <f t="shared" si="46"/>
        <v>11A8</v>
      </c>
      <c r="C1680" s="63"/>
      <c r="D1680" s="59"/>
      <c r="E1680" s="59"/>
      <c r="F1680" s="59"/>
      <c r="G1680" s="59"/>
      <c r="H1680" s="60"/>
      <c r="I1680" s="59"/>
      <c r="J1680" s="143"/>
      <c r="K1680" s="59" t="s">
        <v>61</v>
      </c>
    </row>
    <row r="1681" ht="85.5" outlineLevel="1" spans="1:11">
      <c r="A1681" s="24"/>
      <c r="B1681" s="134" t="str">
        <f t="shared" si="46"/>
        <v>11A9</v>
      </c>
      <c r="C1681" s="63" t="s">
        <v>1768</v>
      </c>
      <c r="D1681" s="59" t="s">
        <v>89</v>
      </c>
      <c r="E1681" s="59"/>
      <c r="F1681" s="59"/>
      <c r="G1681" s="59">
        <v>0</v>
      </c>
      <c r="H1681" s="59">
        <v>2</v>
      </c>
      <c r="I1681" s="59" t="s">
        <v>1070</v>
      </c>
      <c r="J1681" s="63" t="s">
        <v>1769</v>
      </c>
      <c r="K1681" s="59" t="s">
        <v>61</v>
      </c>
    </row>
    <row r="1682" outlineLevel="1" spans="1:11">
      <c r="A1682" s="24"/>
      <c r="B1682" s="134" t="str">
        <f t="shared" si="46"/>
        <v>11AA</v>
      </c>
      <c r="C1682" s="67"/>
      <c r="D1682" s="24"/>
      <c r="E1682" s="24"/>
      <c r="F1682" s="24"/>
      <c r="G1682" s="24"/>
      <c r="H1682" s="24"/>
      <c r="I1682" s="24"/>
      <c r="J1682" s="67"/>
      <c r="K1682" s="24"/>
    </row>
    <row r="1683" outlineLevel="1" spans="1:11">
      <c r="A1683" s="24"/>
      <c r="B1683" s="134" t="str">
        <f t="shared" si="46"/>
        <v>11AB</v>
      </c>
      <c r="C1683" s="67"/>
      <c r="D1683" s="24"/>
      <c r="E1683" s="24"/>
      <c r="F1683" s="24"/>
      <c r="G1683" s="24"/>
      <c r="H1683" s="24"/>
      <c r="I1683" s="24"/>
      <c r="J1683" s="67"/>
      <c r="K1683" s="24"/>
    </row>
    <row r="1684" outlineLevel="1" spans="1:11">
      <c r="A1684" s="24"/>
      <c r="B1684" s="134" t="str">
        <f t="shared" si="46"/>
        <v>11AC</v>
      </c>
      <c r="C1684" s="67"/>
      <c r="D1684" s="24"/>
      <c r="E1684" s="24"/>
      <c r="F1684" s="24"/>
      <c r="G1684" s="24"/>
      <c r="H1684" s="24"/>
      <c r="I1684" s="24"/>
      <c r="J1684" s="67"/>
      <c r="K1684" s="24"/>
    </row>
    <row r="1685" outlineLevel="1" spans="1:11">
      <c r="A1685" s="24"/>
      <c r="B1685" s="134" t="str">
        <f t="shared" si="46"/>
        <v>11AD</v>
      </c>
      <c r="C1685" s="67"/>
      <c r="D1685" s="24"/>
      <c r="E1685" s="24"/>
      <c r="F1685" s="24"/>
      <c r="G1685" s="24"/>
      <c r="H1685" s="24"/>
      <c r="I1685" s="24"/>
      <c r="J1685" s="67"/>
      <c r="K1685" s="24"/>
    </row>
    <row r="1686" outlineLevel="1" spans="1:11">
      <c r="A1686" s="24"/>
      <c r="B1686" s="134" t="str">
        <f t="shared" si="46"/>
        <v>11AE</v>
      </c>
      <c r="C1686" s="67"/>
      <c r="D1686" s="24"/>
      <c r="E1686" s="24"/>
      <c r="F1686" s="24"/>
      <c r="G1686" s="24"/>
      <c r="H1686" s="24"/>
      <c r="I1686" s="24"/>
      <c r="J1686" s="67"/>
      <c r="K1686" s="24"/>
    </row>
    <row r="1687" outlineLevel="1" spans="1:11">
      <c r="A1687" s="24"/>
      <c r="B1687" s="134" t="str">
        <f t="shared" si="46"/>
        <v>11AF</v>
      </c>
      <c r="C1687" s="67"/>
      <c r="D1687" s="24"/>
      <c r="E1687" s="24"/>
      <c r="F1687" s="24"/>
      <c r="G1687" s="24"/>
      <c r="H1687" s="24"/>
      <c r="I1687" s="24"/>
      <c r="J1687" s="67"/>
      <c r="K1687" s="24"/>
    </row>
    <row r="1688" outlineLevel="1" spans="1:11">
      <c r="A1688" s="24"/>
      <c r="B1688" s="134" t="str">
        <f t="shared" si="46"/>
        <v>11B0</v>
      </c>
      <c r="C1688" s="67"/>
      <c r="D1688" s="24"/>
      <c r="E1688" s="24"/>
      <c r="F1688" s="24"/>
      <c r="G1688" s="24"/>
      <c r="H1688" s="24"/>
      <c r="I1688" s="24"/>
      <c r="J1688" s="67"/>
      <c r="K1688" s="24"/>
    </row>
    <row r="1689" outlineLevel="1" spans="1:11">
      <c r="A1689" s="24"/>
      <c r="B1689" s="134" t="str">
        <f t="shared" si="46"/>
        <v>11B1</v>
      </c>
      <c r="C1689" s="67"/>
      <c r="D1689" s="24"/>
      <c r="E1689" s="24"/>
      <c r="F1689" s="24"/>
      <c r="G1689" s="24"/>
      <c r="H1689" s="24"/>
      <c r="I1689" s="24"/>
      <c r="J1689" s="67"/>
      <c r="K1689" s="24"/>
    </row>
    <row r="1690" outlineLevel="1" spans="1:11">
      <c r="A1690" s="24"/>
      <c r="B1690" s="134" t="str">
        <f t="shared" si="46"/>
        <v>11B2</v>
      </c>
      <c r="C1690" s="67"/>
      <c r="D1690" s="24"/>
      <c r="E1690" s="24"/>
      <c r="F1690" s="24"/>
      <c r="G1690" s="24"/>
      <c r="H1690" s="24"/>
      <c r="I1690" s="24"/>
      <c r="J1690" s="67"/>
      <c r="K1690" s="24"/>
    </row>
    <row r="1691" outlineLevel="1" spans="1:11">
      <c r="A1691" s="24"/>
      <c r="B1691" s="134" t="str">
        <f t="shared" si="46"/>
        <v>11B3</v>
      </c>
      <c r="C1691" s="67"/>
      <c r="D1691" s="24"/>
      <c r="E1691" s="24"/>
      <c r="F1691" s="24"/>
      <c r="G1691" s="24"/>
      <c r="H1691" s="24"/>
      <c r="I1691" s="24"/>
      <c r="J1691" s="67"/>
      <c r="K1691" s="24"/>
    </row>
    <row r="1692" outlineLevel="1" spans="1:11">
      <c r="A1692" s="24"/>
      <c r="B1692" s="134" t="str">
        <f t="shared" si="46"/>
        <v>11B4</v>
      </c>
      <c r="C1692" s="67"/>
      <c r="D1692" s="24"/>
      <c r="E1692" s="24"/>
      <c r="F1692" s="24"/>
      <c r="G1692" s="24"/>
      <c r="H1692" s="24"/>
      <c r="I1692" s="24"/>
      <c r="J1692" s="67"/>
      <c r="K1692" s="24"/>
    </row>
    <row r="1693" outlineLevel="1" spans="1:11">
      <c r="A1693" s="24"/>
      <c r="B1693" s="134" t="str">
        <f t="shared" si="46"/>
        <v>11B5</v>
      </c>
      <c r="C1693" s="67"/>
      <c r="D1693" s="24"/>
      <c r="E1693" s="24"/>
      <c r="F1693" s="24"/>
      <c r="G1693" s="24"/>
      <c r="H1693" s="24"/>
      <c r="I1693" s="24"/>
      <c r="J1693" s="67"/>
      <c r="K1693" s="24"/>
    </row>
    <row r="1694" outlineLevel="1" spans="1:11">
      <c r="A1694" s="24"/>
      <c r="B1694" s="134" t="str">
        <f t="shared" si="46"/>
        <v>11B6</v>
      </c>
      <c r="C1694" s="67"/>
      <c r="D1694" s="24"/>
      <c r="E1694" s="24"/>
      <c r="F1694" s="24"/>
      <c r="G1694" s="24"/>
      <c r="H1694" s="24"/>
      <c r="I1694" s="24"/>
      <c r="J1694" s="67"/>
      <c r="K1694" s="24"/>
    </row>
    <row r="1695" outlineLevel="1" spans="1:11">
      <c r="A1695" s="24"/>
      <c r="B1695" s="134" t="str">
        <f t="shared" si="46"/>
        <v>11B7</v>
      </c>
      <c r="C1695" s="67"/>
      <c r="D1695" s="24"/>
      <c r="E1695" s="24"/>
      <c r="F1695" s="24"/>
      <c r="G1695" s="24"/>
      <c r="H1695" s="24"/>
      <c r="I1695" s="24"/>
      <c r="J1695" s="67"/>
      <c r="K1695" s="24"/>
    </row>
    <row r="1696" outlineLevel="1" spans="1:11">
      <c r="A1696" s="24"/>
      <c r="B1696" s="134" t="str">
        <f t="shared" si="46"/>
        <v>11B8</v>
      </c>
      <c r="C1696" s="67"/>
      <c r="D1696" s="24"/>
      <c r="E1696" s="24"/>
      <c r="F1696" s="24"/>
      <c r="G1696" s="24"/>
      <c r="H1696" s="24"/>
      <c r="I1696" s="24"/>
      <c r="J1696" s="67"/>
      <c r="K1696" s="24"/>
    </row>
    <row r="1697" outlineLevel="1" spans="1:11">
      <c r="A1697" s="24"/>
      <c r="B1697" s="134" t="str">
        <f t="shared" si="46"/>
        <v>11B9</v>
      </c>
      <c r="C1697" s="67"/>
      <c r="D1697" s="24"/>
      <c r="E1697" s="24"/>
      <c r="F1697" s="24"/>
      <c r="G1697" s="24"/>
      <c r="H1697" s="24"/>
      <c r="I1697" s="24"/>
      <c r="J1697" s="67"/>
      <c r="K1697" s="24"/>
    </row>
    <row r="1698" outlineLevel="1" spans="1:11">
      <c r="A1698" s="24"/>
      <c r="B1698" s="134" t="str">
        <f t="shared" si="46"/>
        <v>11BA</v>
      </c>
      <c r="C1698" s="67"/>
      <c r="D1698" s="24"/>
      <c r="E1698" s="24"/>
      <c r="F1698" s="24"/>
      <c r="G1698" s="24"/>
      <c r="H1698" s="24"/>
      <c r="I1698" s="24"/>
      <c r="J1698" s="67"/>
      <c r="K1698" s="24"/>
    </row>
    <row r="1699" outlineLevel="1" spans="1:11">
      <c r="A1699" s="24"/>
      <c r="B1699" s="134" t="str">
        <f t="shared" si="46"/>
        <v>11BB</v>
      </c>
      <c r="C1699" s="67"/>
      <c r="D1699" s="24"/>
      <c r="E1699" s="24"/>
      <c r="F1699" s="24"/>
      <c r="G1699" s="24"/>
      <c r="H1699" s="24"/>
      <c r="I1699" s="24"/>
      <c r="J1699" s="67"/>
      <c r="K1699" s="24"/>
    </row>
    <row r="1700" outlineLevel="1" spans="1:11">
      <c r="A1700" s="24"/>
      <c r="B1700" s="134" t="str">
        <f t="shared" si="46"/>
        <v>11BC</v>
      </c>
      <c r="C1700" s="67"/>
      <c r="D1700" s="24"/>
      <c r="E1700" s="24"/>
      <c r="F1700" s="24"/>
      <c r="G1700" s="24"/>
      <c r="H1700" s="24"/>
      <c r="I1700" s="24"/>
      <c r="J1700" s="67"/>
      <c r="K1700" s="24"/>
    </row>
    <row r="1701" outlineLevel="1" spans="1:11">
      <c r="A1701" s="24"/>
      <c r="B1701" s="134" t="str">
        <f t="shared" si="46"/>
        <v>11BD</v>
      </c>
      <c r="C1701" s="67"/>
      <c r="D1701" s="24"/>
      <c r="E1701" s="24"/>
      <c r="F1701" s="24"/>
      <c r="G1701" s="24"/>
      <c r="H1701" s="24"/>
      <c r="I1701" s="24"/>
      <c r="J1701" s="67"/>
      <c r="K1701" s="24"/>
    </row>
    <row r="1702" outlineLevel="1" spans="1:11">
      <c r="A1702" s="24"/>
      <c r="B1702" s="134" t="str">
        <f t="shared" si="46"/>
        <v>11BE</v>
      </c>
      <c r="C1702" s="67"/>
      <c r="D1702" s="24"/>
      <c r="E1702" s="24"/>
      <c r="F1702" s="24"/>
      <c r="G1702" s="24"/>
      <c r="H1702" s="24"/>
      <c r="I1702" s="24"/>
      <c r="J1702" s="67"/>
      <c r="K1702" s="24"/>
    </row>
    <row r="1703" outlineLevel="1" spans="1:11">
      <c r="A1703" s="24"/>
      <c r="B1703" s="134" t="str">
        <f t="shared" si="46"/>
        <v>11BF</v>
      </c>
      <c r="C1703" s="67"/>
      <c r="D1703" s="24"/>
      <c r="E1703" s="24"/>
      <c r="F1703" s="24"/>
      <c r="G1703" s="24"/>
      <c r="H1703" s="24"/>
      <c r="I1703" s="24"/>
      <c r="J1703" s="67"/>
      <c r="K1703" s="24"/>
    </row>
    <row r="1704" outlineLevel="1" spans="1:11">
      <c r="A1704" s="24"/>
      <c r="B1704" s="134" t="str">
        <f t="shared" si="46"/>
        <v>11C0</v>
      </c>
      <c r="C1704" s="63" t="s">
        <v>1770</v>
      </c>
      <c r="D1704" s="59" t="s">
        <v>59</v>
      </c>
      <c r="E1704" s="59"/>
      <c r="F1704" s="59"/>
      <c r="G1704" s="59"/>
      <c r="H1704" s="59"/>
      <c r="I1704" s="59" t="s">
        <v>38</v>
      </c>
      <c r="J1704" s="63" t="s">
        <v>568</v>
      </c>
      <c r="K1704" s="24" t="s">
        <v>61</v>
      </c>
    </row>
    <row r="1705" outlineLevel="1" spans="1:11">
      <c r="A1705" s="24"/>
      <c r="B1705" s="134" t="str">
        <f t="shared" si="46"/>
        <v>11C1</v>
      </c>
      <c r="C1705" s="63"/>
      <c r="D1705" s="59"/>
      <c r="E1705" s="59"/>
      <c r="F1705" s="59"/>
      <c r="G1705" s="59"/>
      <c r="H1705" s="59"/>
      <c r="I1705" s="59"/>
      <c r="J1705" s="63"/>
      <c r="K1705" s="24" t="s">
        <v>61</v>
      </c>
    </row>
    <row r="1706" outlineLevel="1" spans="1:11">
      <c r="A1706" s="24"/>
      <c r="B1706" s="134" t="str">
        <f t="shared" ref="B1706:B1709" si="47">DEC2HEX(4352+ROW()-ROW($B$1512),4)</f>
        <v>11C2</v>
      </c>
      <c r="C1706" s="63"/>
      <c r="D1706" s="59"/>
      <c r="E1706" s="59"/>
      <c r="F1706" s="59"/>
      <c r="G1706" s="59"/>
      <c r="H1706" s="59"/>
      <c r="I1706" s="59"/>
      <c r="J1706" s="63"/>
      <c r="K1706" s="24" t="s">
        <v>61</v>
      </c>
    </row>
    <row r="1707" ht="74" customHeight="1" outlineLevel="1" spans="1:11">
      <c r="A1707" s="24"/>
      <c r="B1707" s="134" t="str">
        <f t="shared" si="47"/>
        <v>11C3</v>
      </c>
      <c r="C1707" s="63"/>
      <c r="D1707" s="59"/>
      <c r="E1707" s="59"/>
      <c r="F1707" s="59"/>
      <c r="G1707" s="59"/>
      <c r="H1707" s="59"/>
      <c r="I1707" s="59"/>
      <c r="J1707" s="63"/>
      <c r="K1707" s="24" t="s">
        <v>61</v>
      </c>
    </row>
    <row r="1708" outlineLevel="1" spans="1:11">
      <c r="A1708" s="24"/>
      <c r="B1708" s="134" t="str">
        <f t="shared" si="47"/>
        <v>11C4</v>
      </c>
      <c r="C1708" s="67"/>
      <c r="D1708" s="24"/>
      <c r="E1708" s="24"/>
      <c r="F1708" s="24"/>
      <c r="G1708" s="24"/>
      <c r="H1708" s="24"/>
      <c r="I1708" s="24"/>
      <c r="J1708" s="67"/>
      <c r="K1708" s="24"/>
    </row>
    <row r="1709" outlineLevel="1" spans="1:11">
      <c r="A1709" s="24"/>
      <c r="B1709" s="134" t="str">
        <f t="shared" si="47"/>
        <v>11C5</v>
      </c>
      <c r="C1709" s="67"/>
      <c r="D1709" s="24"/>
      <c r="E1709" s="24"/>
      <c r="F1709" s="24"/>
      <c r="G1709" s="24"/>
      <c r="H1709" s="24"/>
      <c r="I1709" s="24"/>
      <c r="J1709" s="67"/>
      <c r="K1709" s="24"/>
    </row>
    <row r="1710" s="22" customFormat="1" outlineLevel="1" spans="1:11">
      <c r="A1710" s="24"/>
      <c r="B1710" s="134"/>
      <c r="C1710" s="67"/>
      <c r="D1710" s="24"/>
      <c r="E1710" s="24"/>
      <c r="F1710" s="24"/>
      <c r="G1710" s="24"/>
      <c r="H1710" s="24"/>
      <c r="I1710" s="24"/>
      <c r="J1710" s="67"/>
      <c r="K1710" s="24"/>
    </row>
    <row r="1711" s="22" customFormat="1" outlineLevel="1" spans="1:11">
      <c r="A1711" s="24"/>
      <c r="B1711" s="134"/>
      <c r="C1711" s="67"/>
      <c r="D1711" s="24"/>
      <c r="E1711" s="24"/>
      <c r="F1711" s="24"/>
      <c r="G1711" s="24"/>
      <c r="H1711" s="24"/>
      <c r="I1711" s="24"/>
      <c r="J1711" s="67"/>
      <c r="K1711" s="24"/>
    </row>
    <row r="1712" s="22" customFormat="1" outlineLevel="1" spans="1:11">
      <c r="A1712" s="24"/>
      <c r="B1712" s="134"/>
      <c r="C1712" s="67"/>
      <c r="D1712" s="24"/>
      <c r="E1712" s="24"/>
      <c r="F1712" s="24"/>
      <c r="G1712" s="24"/>
      <c r="H1712" s="24"/>
      <c r="I1712" s="24"/>
      <c r="J1712" s="67"/>
      <c r="K1712" s="24"/>
    </row>
    <row r="1713" s="22" customFormat="1" outlineLevel="1" spans="1:11">
      <c r="A1713" s="24"/>
      <c r="B1713" s="134"/>
      <c r="C1713" s="67"/>
      <c r="D1713" s="24"/>
      <c r="E1713" s="24"/>
      <c r="F1713" s="24"/>
      <c r="G1713" s="24"/>
      <c r="H1713" s="24"/>
      <c r="I1713" s="24"/>
      <c r="J1713" s="67"/>
      <c r="K1713" s="24"/>
    </row>
    <row r="1714" s="22" customFormat="1" outlineLevel="1" spans="1:11">
      <c r="A1714" s="24"/>
      <c r="B1714" s="134"/>
      <c r="C1714" s="67"/>
      <c r="D1714" s="24"/>
      <c r="E1714" s="24"/>
      <c r="F1714" s="24"/>
      <c r="G1714" s="24"/>
      <c r="H1714" s="24"/>
      <c r="I1714" s="24"/>
      <c r="J1714" s="67"/>
      <c r="K1714" s="24"/>
    </row>
    <row r="1715" s="22" customFormat="1" outlineLevel="1" spans="1:11">
      <c r="A1715" s="24"/>
      <c r="B1715" s="134"/>
      <c r="C1715" s="67"/>
      <c r="D1715" s="24"/>
      <c r="E1715" s="24"/>
      <c r="F1715" s="24"/>
      <c r="G1715" s="24"/>
      <c r="H1715" s="24"/>
      <c r="I1715" s="24"/>
      <c r="J1715" s="67"/>
      <c r="K1715" s="24"/>
    </row>
    <row r="1716" s="22" customFormat="1" outlineLevel="1" spans="1:11">
      <c r="A1716" s="24"/>
      <c r="B1716" s="134"/>
      <c r="C1716" s="67"/>
      <c r="D1716" s="24"/>
      <c r="E1716" s="24"/>
      <c r="F1716" s="24"/>
      <c r="G1716" s="24"/>
      <c r="H1716" s="24"/>
      <c r="I1716" s="24"/>
      <c r="J1716" s="67"/>
      <c r="K1716" s="24"/>
    </row>
    <row r="1717" s="22" customFormat="1" outlineLevel="1" spans="1:11">
      <c r="A1717" s="24"/>
      <c r="B1717" s="134"/>
      <c r="C1717" s="67"/>
      <c r="D1717" s="24"/>
      <c r="E1717" s="24"/>
      <c r="F1717" s="24"/>
      <c r="G1717" s="24"/>
      <c r="H1717" s="24"/>
      <c r="I1717" s="24"/>
      <c r="J1717" s="67"/>
      <c r="K1717" s="24"/>
    </row>
    <row r="1718" s="22" customFormat="1" outlineLevel="1" spans="1:11">
      <c r="A1718" s="24"/>
      <c r="B1718" s="134"/>
      <c r="C1718" s="67"/>
      <c r="D1718" s="24"/>
      <c r="E1718" s="24"/>
      <c r="F1718" s="24"/>
      <c r="G1718" s="24"/>
      <c r="H1718" s="24"/>
      <c r="I1718" s="24"/>
      <c r="J1718" s="67"/>
      <c r="K1718" s="24"/>
    </row>
    <row r="1719" s="22" customFormat="1" outlineLevel="1" spans="1:11">
      <c r="A1719" s="24"/>
      <c r="B1719" s="134"/>
      <c r="C1719" s="67"/>
      <c r="D1719" s="24"/>
      <c r="E1719" s="24"/>
      <c r="F1719" s="24"/>
      <c r="G1719" s="24"/>
      <c r="H1719" s="24"/>
      <c r="I1719" s="24"/>
      <c r="J1719" s="67"/>
      <c r="K1719" s="24"/>
    </row>
    <row r="1720" s="22" customFormat="1" outlineLevel="1" spans="1:11">
      <c r="A1720" s="24"/>
      <c r="B1720" s="134"/>
      <c r="C1720" s="67"/>
      <c r="D1720" s="24"/>
      <c r="E1720" s="24"/>
      <c r="F1720" s="24"/>
      <c r="G1720" s="24"/>
      <c r="H1720" s="24"/>
      <c r="I1720" s="24"/>
      <c r="J1720" s="67"/>
      <c r="K1720" s="24"/>
    </row>
    <row r="1721" s="22" customFormat="1" outlineLevel="1" spans="1:11">
      <c r="A1721" s="24"/>
      <c r="B1721" s="134"/>
      <c r="C1721" s="67"/>
      <c r="D1721" s="24"/>
      <c r="E1721" s="24"/>
      <c r="F1721" s="24"/>
      <c r="G1721" s="24"/>
      <c r="H1721" s="24"/>
      <c r="I1721" s="24"/>
      <c r="J1721" s="67"/>
      <c r="K1721" s="24"/>
    </row>
    <row r="1722" s="22" customFormat="1" outlineLevel="1" spans="1:11">
      <c r="A1722" s="24"/>
      <c r="B1722" s="134"/>
      <c r="C1722" s="67"/>
      <c r="D1722" s="24"/>
      <c r="E1722" s="24"/>
      <c r="F1722" s="24"/>
      <c r="G1722" s="24"/>
      <c r="H1722" s="24"/>
      <c r="I1722" s="24"/>
      <c r="J1722" s="67"/>
      <c r="K1722" s="24"/>
    </row>
    <row r="1723" s="22" customFormat="1" outlineLevel="1" spans="1:11">
      <c r="A1723" s="24"/>
      <c r="B1723" s="134"/>
      <c r="C1723" s="67"/>
      <c r="D1723" s="24"/>
      <c r="E1723" s="24"/>
      <c r="F1723" s="24"/>
      <c r="G1723" s="24"/>
      <c r="H1723" s="24"/>
      <c r="I1723" s="24"/>
      <c r="J1723" s="67"/>
      <c r="K1723" s="24"/>
    </row>
    <row r="1724" s="22" customFormat="1" outlineLevel="1" spans="1:11">
      <c r="A1724" s="24"/>
      <c r="B1724" s="134"/>
      <c r="C1724" s="67"/>
      <c r="D1724" s="24"/>
      <c r="E1724" s="24"/>
      <c r="F1724" s="24"/>
      <c r="G1724" s="24"/>
      <c r="H1724" s="24"/>
      <c r="I1724" s="24"/>
      <c r="J1724" s="67"/>
      <c r="K1724" s="24"/>
    </row>
    <row r="1725" s="22" customFormat="1" outlineLevel="1" spans="1:11">
      <c r="A1725" s="24"/>
      <c r="B1725" s="134"/>
      <c r="C1725" s="67"/>
      <c r="D1725" s="24"/>
      <c r="E1725" s="24"/>
      <c r="F1725" s="24"/>
      <c r="G1725" s="24"/>
      <c r="H1725" s="24"/>
      <c r="I1725" s="24"/>
      <c r="J1725" s="67"/>
      <c r="K1725" s="24"/>
    </row>
    <row r="1726" s="22" customFormat="1" outlineLevel="1" spans="1:11">
      <c r="A1726" s="24"/>
      <c r="B1726" s="134"/>
      <c r="C1726" s="67"/>
      <c r="D1726" s="24"/>
      <c r="E1726" s="24"/>
      <c r="F1726" s="24"/>
      <c r="G1726" s="24"/>
      <c r="H1726" s="24"/>
      <c r="I1726" s="24"/>
      <c r="J1726" s="67"/>
      <c r="K1726" s="24"/>
    </row>
    <row r="1727" s="22" customFormat="1" outlineLevel="1" spans="1:11">
      <c r="A1727" s="24"/>
      <c r="B1727" s="134"/>
      <c r="C1727" s="67"/>
      <c r="D1727" s="24"/>
      <c r="E1727" s="24"/>
      <c r="F1727" s="24"/>
      <c r="G1727" s="24"/>
      <c r="H1727" s="24"/>
      <c r="I1727" s="24"/>
      <c r="J1727" s="67"/>
      <c r="K1727" s="24"/>
    </row>
    <row r="1728" s="22" customFormat="1" outlineLevel="1" spans="1:11">
      <c r="A1728" s="24"/>
      <c r="B1728" s="134"/>
      <c r="C1728" s="67"/>
      <c r="D1728" s="24"/>
      <c r="E1728" s="24"/>
      <c r="F1728" s="24"/>
      <c r="G1728" s="24"/>
      <c r="H1728" s="24"/>
      <c r="I1728" s="24"/>
      <c r="J1728" s="67"/>
      <c r="K1728" s="24"/>
    </row>
    <row r="1729" s="22" customFormat="1" outlineLevel="1" spans="1:11">
      <c r="A1729" s="24"/>
      <c r="B1729" s="134"/>
      <c r="C1729" s="67"/>
      <c r="D1729" s="24"/>
      <c r="E1729" s="24"/>
      <c r="F1729" s="24"/>
      <c r="G1729" s="24"/>
      <c r="H1729" s="24"/>
      <c r="I1729" s="24"/>
      <c r="J1729" s="67"/>
      <c r="K1729" s="24"/>
    </row>
    <row r="1730" s="22" customFormat="1" outlineLevel="1" spans="1:11">
      <c r="A1730" s="24"/>
      <c r="B1730" s="134"/>
      <c r="C1730" s="67"/>
      <c r="D1730" s="24"/>
      <c r="E1730" s="24"/>
      <c r="F1730" s="24"/>
      <c r="G1730" s="24"/>
      <c r="H1730" s="24"/>
      <c r="I1730" s="24"/>
      <c r="J1730" s="67"/>
      <c r="K1730" s="24"/>
    </row>
    <row r="1731" outlineLevel="1" spans="1:11">
      <c r="A1731" s="24"/>
      <c r="B1731" s="81"/>
      <c r="C1731" s="67"/>
      <c r="D1731" s="24"/>
      <c r="E1731" s="24"/>
      <c r="F1731" s="24"/>
      <c r="G1731" s="24"/>
      <c r="H1731" s="24"/>
      <c r="I1731" s="24"/>
      <c r="J1731" s="67"/>
      <c r="K1731" s="24"/>
    </row>
    <row r="1732" outlineLevel="1" spans="1:11">
      <c r="A1732" s="24"/>
      <c r="B1732" s="81"/>
      <c r="C1732" s="67"/>
      <c r="D1732" s="24"/>
      <c r="E1732" s="24"/>
      <c r="F1732" s="24"/>
      <c r="G1732" s="24"/>
      <c r="H1732" s="24"/>
      <c r="I1732" s="24"/>
      <c r="J1732" s="67"/>
      <c r="K1732" s="24"/>
    </row>
    <row r="1733" outlineLevel="1" spans="1:11">
      <c r="A1733" s="24"/>
      <c r="B1733" s="81"/>
      <c r="C1733" s="67"/>
      <c r="D1733" s="24"/>
      <c r="E1733" s="24"/>
      <c r="F1733" s="24"/>
      <c r="G1733" s="24"/>
      <c r="H1733" s="24"/>
      <c r="I1733" s="24"/>
      <c r="J1733" s="67"/>
      <c r="K1733" s="24"/>
    </row>
    <row r="1734" outlineLevel="1" spans="1:11">
      <c r="A1734" s="24"/>
      <c r="B1734" s="81"/>
      <c r="C1734" s="67"/>
      <c r="D1734" s="24"/>
      <c r="E1734" s="24"/>
      <c r="F1734" s="24"/>
      <c r="G1734" s="24"/>
      <c r="H1734" s="24"/>
      <c r="I1734" s="24"/>
      <c r="J1734" s="67"/>
      <c r="K1734" s="24"/>
    </row>
    <row r="1735" outlineLevel="1" spans="1:11">
      <c r="A1735" s="24"/>
      <c r="B1735" s="81"/>
      <c r="C1735" s="67"/>
      <c r="D1735" s="24"/>
      <c r="E1735" s="24"/>
      <c r="F1735" s="24"/>
      <c r="G1735" s="24"/>
      <c r="H1735" s="24"/>
      <c r="I1735" s="24"/>
      <c r="J1735" s="67"/>
      <c r="K1735" s="24"/>
    </row>
    <row r="1736" outlineLevel="1" spans="1:11">
      <c r="A1736" s="24"/>
      <c r="B1736" s="81"/>
      <c r="C1736" s="67"/>
      <c r="D1736" s="24"/>
      <c r="E1736" s="24"/>
      <c r="F1736" s="24"/>
      <c r="G1736" s="24"/>
      <c r="H1736" s="24"/>
      <c r="I1736" s="24"/>
      <c r="J1736" s="67"/>
      <c r="K1736" s="24"/>
    </row>
    <row r="1737" outlineLevel="1" spans="1:11">
      <c r="A1737" s="24"/>
      <c r="B1737" s="81"/>
      <c r="C1737" s="67"/>
      <c r="D1737" s="24"/>
      <c r="E1737" s="24"/>
      <c r="F1737" s="24"/>
      <c r="G1737" s="24"/>
      <c r="H1737" s="24"/>
      <c r="I1737" s="24"/>
      <c r="J1737" s="67"/>
      <c r="K1737" s="24"/>
    </row>
    <row r="1738" spans="1:11">
      <c r="A1738" s="24"/>
      <c r="B1738" s="81"/>
      <c r="C1738" s="67"/>
      <c r="D1738" s="24"/>
      <c r="E1738" s="24"/>
      <c r="F1738" s="24"/>
      <c r="G1738" s="24"/>
      <c r="H1738" s="24"/>
      <c r="I1738" s="24"/>
      <c r="J1738" s="67"/>
      <c r="K1738" s="24"/>
    </row>
    <row r="1739" spans="1:11">
      <c r="A1739" s="24"/>
      <c r="B1739" s="81"/>
      <c r="C1739" s="67"/>
      <c r="D1739" s="24"/>
      <c r="E1739" s="24"/>
      <c r="F1739" s="24"/>
      <c r="G1739" s="24"/>
      <c r="H1739" s="24"/>
      <c r="I1739" s="24"/>
      <c r="J1739" s="67"/>
      <c r="K1739" s="24"/>
    </row>
    <row r="1740" spans="1:11">
      <c r="A1740" s="144" t="s">
        <v>1771</v>
      </c>
      <c r="B1740" s="145"/>
      <c r="C1740" s="145"/>
      <c r="D1740" s="145"/>
      <c r="E1740" s="145"/>
      <c r="F1740" s="145"/>
      <c r="G1740" s="145"/>
      <c r="H1740" s="145"/>
      <c r="I1740" s="145"/>
      <c r="J1740" s="145"/>
      <c r="K1740" s="145"/>
    </row>
    <row r="1741" outlineLevel="1" spans="1:11">
      <c r="A1741" s="24"/>
      <c r="B1741" s="81" t="str">
        <f>DEC2HEX(4864+ROW()-ROW($B$1741),4)</f>
        <v>1300</v>
      </c>
      <c r="C1741" s="63" t="s">
        <v>1772</v>
      </c>
      <c r="D1741" s="59" t="s">
        <v>59</v>
      </c>
      <c r="E1741" s="59"/>
      <c r="F1741" s="59"/>
      <c r="G1741" s="59"/>
      <c r="H1741" s="59"/>
      <c r="I1741" s="59" t="s">
        <v>38</v>
      </c>
      <c r="J1741" s="63" t="s">
        <v>568</v>
      </c>
      <c r="K1741" s="24"/>
    </row>
    <row r="1742" outlineLevel="1" spans="1:11">
      <c r="A1742" s="24"/>
      <c r="B1742" s="81" t="str">
        <f t="shared" ref="B1742:B1792" si="48">DEC2HEX(4864+ROW()-ROW($B$1741),4)</f>
        <v>1301</v>
      </c>
      <c r="C1742" s="63"/>
      <c r="D1742" s="59"/>
      <c r="E1742" s="59"/>
      <c r="F1742" s="59"/>
      <c r="G1742" s="59"/>
      <c r="H1742" s="59"/>
      <c r="I1742" s="59"/>
      <c r="J1742" s="63"/>
      <c r="K1742" s="24"/>
    </row>
    <row r="1743" outlineLevel="1" spans="1:11">
      <c r="A1743" s="24"/>
      <c r="B1743" s="81" t="str">
        <f t="shared" si="48"/>
        <v>1302</v>
      </c>
      <c r="C1743" s="63"/>
      <c r="D1743" s="59"/>
      <c r="E1743" s="59"/>
      <c r="F1743" s="59"/>
      <c r="G1743" s="59"/>
      <c r="H1743" s="59"/>
      <c r="I1743" s="59"/>
      <c r="J1743" s="63"/>
      <c r="K1743" s="24"/>
    </row>
    <row r="1744" ht="55" customHeight="1" outlineLevel="1" spans="1:11">
      <c r="A1744" s="24"/>
      <c r="B1744" s="81" t="str">
        <f t="shared" si="48"/>
        <v>1303</v>
      </c>
      <c r="C1744" s="63"/>
      <c r="D1744" s="59"/>
      <c r="E1744" s="59"/>
      <c r="F1744" s="59"/>
      <c r="G1744" s="59"/>
      <c r="H1744" s="59"/>
      <c r="I1744" s="59"/>
      <c r="J1744" s="63"/>
      <c r="K1744" s="24"/>
    </row>
    <row r="1745" ht="42.75" outlineLevel="1" spans="1:11">
      <c r="A1745" s="24"/>
      <c r="B1745" s="81" t="str">
        <f t="shared" si="48"/>
        <v>1304</v>
      </c>
      <c r="C1745" s="69" t="s">
        <v>1773</v>
      </c>
      <c r="D1745" s="24" t="s">
        <v>89</v>
      </c>
      <c r="E1745" s="24">
        <v>0.1</v>
      </c>
      <c r="F1745" s="24" t="s">
        <v>44</v>
      </c>
      <c r="G1745" s="24"/>
      <c r="H1745" s="24"/>
      <c r="I1745" s="24" t="s">
        <v>38</v>
      </c>
      <c r="J1745" s="69" t="s">
        <v>1774</v>
      </c>
      <c r="K1745" s="24"/>
    </row>
    <row r="1746" ht="43" customHeight="1" outlineLevel="1" spans="1:11">
      <c r="A1746" s="24"/>
      <c r="B1746" s="81" t="str">
        <f t="shared" si="48"/>
        <v>1305</v>
      </c>
      <c r="C1746" s="69" t="s">
        <v>1775</v>
      </c>
      <c r="D1746" s="24" t="s">
        <v>89</v>
      </c>
      <c r="E1746" s="24">
        <v>1</v>
      </c>
      <c r="F1746" s="24" t="s">
        <v>1102</v>
      </c>
      <c r="G1746" s="24"/>
      <c r="H1746" s="24"/>
      <c r="I1746" s="24" t="s">
        <v>38</v>
      </c>
      <c r="J1746" s="69" t="s">
        <v>1776</v>
      </c>
      <c r="K1746" s="24"/>
    </row>
    <row r="1747" ht="42.75" outlineLevel="1" spans="1:11">
      <c r="A1747" s="24"/>
      <c r="B1747" s="81" t="str">
        <f t="shared" si="48"/>
        <v>1306</v>
      </c>
      <c r="C1747" s="69" t="s">
        <v>1777</v>
      </c>
      <c r="D1747" s="24" t="s">
        <v>89</v>
      </c>
      <c r="E1747" s="24">
        <v>0.1</v>
      </c>
      <c r="F1747" s="24" t="s">
        <v>44</v>
      </c>
      <c r="G1747" s="24"/>
      <c r="H1747" s="24"/>
      <c r="I1747" s="24" t="s">
        <v>38</v>
      </c>
      <c r="J1747" s="69" t="s">
        <v>1778</v>
      </c>
      <c r="K1747" s="24"/>
    </row>
    <row r="1748" ht="42.75" outlineLevel="1" spans="1:11">
      <c r="A1748" s="24"/>
      <c r="B1748" s="81" t="str">
        <f t="shared" si="48"/>
        <v>1307</v>
      </c>
      <c r="C1748" s="69" t="s">
        <v>1779</v>
      </c>
      <c r="D1748" s="24" t="s">
        <v>89</v>
      </c>
      <c r="E1748" s="24">
        <v>1</v>
      </c>
      <c r="F1748" s="24" t="s">
        <v>1102</v>
      </c>
      <c r="G1748" s="24"/>
      <c r="H1748" s="24"/>
      <c r="I1748" s="24" t="s">
        <v>38</v>
      </c>
      <c r="J1748" s="69" t="s">
        <v>1780</v>
      </c>
      <c r="K1748" s="24"/>
    </row>
    <row r="1749" ht="42.75" outlineLevel="1" spans="1:11">
      <c r="A1749" s="24"/>
      <c r="B1749" s="81" t="str">
        <f t="shared" si="48"/>
        <v>1308</v>
      </c>
      <c r="C1749" s="69" t="s">
        <v>1781</v>
      </c>
      <c r="D1749" s="24" t="s">
        <v>89</v>
      </c>
      <c r="E1749" s="24">
        <v>0.1</v>
      </c>
      <c r="F1749" s="24" t="s">
        <v>44</v>
      </c>
      <c r="G1749" s="24"/>
      <c r="H1749" s="24"/>
      <c r="I1749" s="24" t="s">
        <v>38</v>
      </c>
      <c r="J1749" s="69" t="s">
        <v>1782</v>
      </c>
      <c r="K1749" s="24"/>
    </row>
    <row r="1750" ht="42.75" outlineLevel="1" spans="1:11">
      <c r="A1750" s="24"/>
      <c r="B1750" s="81" t="str">
        <f t="shared" si="48"/>
        <v>1309</v>
      </c>
      <c r="C1750" s="69" t="s">
        <v>1783</v>
      </c>
      <c r="D1750" s="24" t="s">
        <v>89</v>
      </c>
      <c r="E1750" s="24">
        <v>1</v>
      </c>
      <c r="F1750" s="24" t="s">
        <v>1102</v>
      </c>
      <c r="G1750" s="24"/>
      <c r="H1750" s="24"/>
      <c r="I1750" s="24" t="s">
        <v>38</v>
      </c>
      <c r="J1750" s="69" t="s">
        <v>1784</v>
      </c>
      <c r="K1750" s="24"/>
    </row>
    <row r="1751" ht="42.75" outlineLevel="1" spans="1:11">
      <c r="A1751" s="24"/>
      <c r="B1751" s="81" t="str">
        <f t="shared" si="48"/>
        <v>130A</v>
      </c>
      <c r="C1751" s="69" t="s">
        <v>1785</v>
      </c>
      <c r="D1751" s="24" t="s">
        <v>89</v>
      </c>
      <c r="E1751" s="24">
        <v>0.1</v>
      </c>
      <c r="F1751" s="24" t="s">
        <v>44</v>
      </c>
      <c r="G1751" s="24"/>
      <c r="H1751" s="24"/>
      <c r="I1751" s="24" t="s">
        <v>38</v>
      </c>
      <c r="J1751" s="69" t="s">
        <v>1786</v>
      </c>
      <c r="K1751" s="24"/>
    </row>
    <row r="1752" ht="42.75" outlineLevel="1" spans="1:11">
      <c r="A1752" s="24"/>
      <c r="B1752" s="81" t="str">
        <f t="shared" si="48"/>
        <v>130B</v>
      </c>
      <c r="C1752" s="69" t="s">
        <v>1787</v>
      </c>
      <c r="D1752" s="24" t="s">
        <v>89</v>
      </c>
      <c r="E1752" s="24">
        <v>1</v>
      </c>
      <c r="F1752" s="24" t="s">
        <v>1102</v>
      </c>
      <c r="G1752" s="24"/>
      <c r="H1752" s="24"/>
      <c r="I1752" s="24" t="s">
        <v>38</v>
      </c>
      <c r="J1752" s="69" t="s">
        <v>1788</v>
      </c>
      <c r="K1752" s="24"/>
    </row>
    <row r="1753" ht="42.75" outlineLevel="1" spans="1:11">
      <c r="A1753" s="24"/>
      <c r="B1753" s="81" t="str">
        <f t="shared" si="48"/>
        <v>130C</v>
      </c>
      <c r="C1753" s="69" t="s">
        <v>1789</v>
      </c>
      <c r="D1753" s="24" t="s">
        <v>89</v>
      </c>
      <c r="E1753" s="24">
        <v>0.1</v>
      </c>
      <c r="F1753" s="24" t="s">
        <v>44</v>
      </c>
      <c r="G1753" s="24"/>
      <c r="H1753" s="24"/>
      <c r="I1753" s="24" t="s">
        <v>38</v>
      </c>
      <c r="J1753" s="69" t="s">
        <v>1790</v>
      </c>
      <c r="K1753" s="24"/>
    </row>
    <row r="1754" ht="42.75" outlineLevel="1" spans="1:11">
      <c r="A1754" s="24"/>
      <c r="B1754" s="81" t="str">
        <f t="shared" si="48"/>
        <v>130D</v>
      </c>
      <c r="C1754" s="69" t="s">
        <v>1791</v>
      </c>
      <c r="D1754" s="24" t="s">
        <v>89</v>
      </c>
      <c r="E1754" s="24">
        <v>1</v>
      </c>
      <c r="F1754" s="24" t="s">
        <v>1102</v>
      </c>
      <c r="G1754" s="24"/>
      <c r="H1754" s="24"/>
      <c r="I1754" s="24" t="s">
        <v>38</v>
      </c>
      <c r="J1754" s="69" t="s">
        <v>1792</v>
      </c>
      <c r="K1754" s="24"/>
    </row>
    <row r="1755" ht="42.75" outlineLevel="1" spans="1:11">
      <c r="A1755" s="24"/>
      <c r="B1755" s="81" t="str">
        <f t="shared" si="48"/>
        <v>130E</v>
      </c>
      <c r="C1755" s="69" t="s">
        <v>1793</v>
      </c>
      <c r="D1755" s="24" t="s">
        <v>89</v>
      </c>
      <c r="E1755" s="24">
        <v>0.1</v>
      </c>
      <c r="F1755" s="24" t="s">
        <v>44</v>
      </c>
      <c r="G1755" s="24"/>
      <c r="H1755" s="24"/>
      <c r="I1755" s="24" t="s">
        <v>38</v>
      </c>
      <c r="J1755" s="69" t="s">
        <v>1794</v>
      </c>
      <c r="K1755" s="24"/>
    </row>
    <row r="1756" ht="42.75" outlineLevel="1" spans="1:11">
      <c r="A1756" s="24"/>
      <c r="B1756" s="81" t="str">
        <f t="shared" si="48"/>
        <v>130F</v>
      </c>
      <c r="C1756" s="69" t="s">
        <v>1795</v>
      </c>
      <c r="D1756" s="24" t="s">
        <v>89</v>
      </c>
      <c r="E1756" s="24">
        <v>1</v>
      </c>
      <c r="F1756" s="24" t="s">
        <v>1102</v>
      </c>
      <c r="G1756" s="24"/>
      <c r="H1756" s="24"/>
      <c r="I1756" s="24" t="s">
        <v>38</v>
      </c>
      <c r="J1756" s="69" t="s">
        <v>1796</v>
      </c>
      <c r="K1756" s="24"/>
    </row>
    <row r="1757" ht="42.75" outlineLevel="1" spans="1:11">
      <c r="A1757" s="24"/>
      <c r="B1757" s="81" t="str">
        <f t="shared" si="48"/>
        <v>1310</v>
      </c>
      <c r="C1757" s="69" t="s">
        <v>1797</v>
      </c>
      <c r="D1757" s="24" t="s">
        <v>89</v>
      </c>
      <c r="E1757" s="24">
        <v>0.1</v>
      </c>
      <c r="F1757" s="24" t="s">
        <v>44</v>
      </c>
      <c r="G1757" s="24"/>
      <c r="H1757" s="24"/>
      <c r="I1757" s="24" t="s">
        <v>38</v>
      </c>
      <c r="J1757" s="69" t="s">
        <v>1798</v>
      </c>
      <c r="K1757" s="24"/>
    </row>
    <row r="1758" ht="42.75" outlineLevel="1" spans="1:11">
      <c r="A1758" s="24"/>
      <c r="B1758" s="81" t="str">
        <f t="shared" si="48"/>
        <v>1311</v>
      </c>
      <c r="C1758" s="69" t="s">
        <v>1799</v>
      </c>
      <c r="D1758" s="24" t="s">
        <v>89</v>
      </c>
      <c r="E1758" s="24">
        <v>1</v>
      </c>
      <c r="F1758" s="24" t="s">
        <v>1102</v>
      </c>
      <c r="G1758" s="24"/>
      <c r="H1758" s="24"/>
      <c r="I1758" s="24" t="s">
        <v>38</v>
      </c>
      <c r="J1758" s="69" t="s">
        <v>1800</v>
      </c>
      <c r="K1758" s="24"/>
    </row>
    <row r="1759" ht="42.75" outlineLevel="1" spans="1:11">
      <c r="A1759" s="24"/>
      <c r="B1759" s="81" t="str">
        <f t="shared" si="48"/>
        <v>1312</v>
      </c>
      <c r="C1759" s="69" t="s">
        <v>1801</v>
      </c>
      <c r="D1759" s="24" t="s">
        <v>89</v>
      </c>
      <c r="E1759" s="24">
        <v>0.1</v>
      </c>
      <c r="F1759" s="24" t="s">
        <v>44</v>
      </c>
      <c r="G1759" s="24"/>
      <c r="H1759" s="24"/>
      <c r="I1759" s="24" t="s">
        <v>38</v>
      </c>
      <c r="J1759" s="69" t="s">
        <v>1802</v>
      </c>
      <c r="K1759" s="24"/>
    </row>
    <row r="1760" ht="42.75" outlineLevel="1" spans="1:11">
      <c r="A1760" s="24"/>
      <c r="B1760" s="81" t="str">
        <f t="shared" si="48"/>
        <v>1313</v>
      </c>
      <c r="C1760" s="69" t="s">
        <v>1803</v>
      </c>
      <c r="D1760" s="24" t="s">
        <v>89</v>
      </c>
      <c r="E1760" s="24">
        <v>1</v>
      </c>
      <c r="F1760" s="24" t="s">
        <v>1102</v>
      </c>
      <c r="G1760" s="24"/>
      <c r="H1760" s="24"/>
      <c r="I1760" s="24" t="s">
        <v>38</v>
      </c>
      <c r="J1760" s="69" t="s">
        <v>1804</v>
      </c>
      <c r="K1760" s="24"/>
    </row>
    <row r="1761" ht="42.75" outlineLevel="1" spans="1:11">
      <c r="A1761" s="24"/>
      <c r="B1761" s="81" t="str">
        <f t="shared" si="48"/>
        <v>1314</v>
      </c>
      <c r="C1761" s="69" t="s">
        <v>1805</v>
      </c>
      <c r="D1761" s="24" t="s">
        <v>89</v>
      </c>
      <c r="E1761" s="24">
        <v>0.01</v>
      </c>
      <c r="F1761" s="24" t="s">
        <v>281</v>
      </c>
      <c r="G1761" s="24"/>
      <c r="H1761" s="24"/>
      <c r="I1761" s="24" t="s">
        <v>38</v>
      </c>
      <c r="J1761" s="69" t="s">
        <v>1806</v>
      </c>
      <c r="K1761" s="24"/>
    </row>
    <row r="1762" ht="42.75" outlineLevel="1" spans="1:11">
      <c r="A1762" s="24"/>
      <c r="B1762" s="81" t="str">
        <f t="shared" si="48"/>
        <v>1315</v>
      </c>
      <c r="C1762" s="69" t="s">
        <v>1807</v>
      </c>
      <c r="D1762" s="24" t="s">
        <v>89</v>
      </c>
      <c r="E1762" s="24">
        <v>1</v>
      </c>
      <c r="F1762" s="24" t="s">
        <v>1102</v>
      </c>
      <c r="G1762" s="24"/>
      <c r="H1762" s="24"/>
      <c r="I1762" s="24" t="s">
        <v>38</v>
      </c>
      <c r="J1762" s="69" t="s">
        <v>1808</v>
      </c>
      <c r="K1762" s="24"/>
    </row>
    <row r="1763" ht="42.75" outlineLevel="1" spans="1:11">
      <c r="A1763" s="24"/>
      <c r="B1763" s="81" t="str">
        <f t="shared" si="48"/>
        <v>1316</v>
      </c>
      <c r="C1763" s="69" t="s">
        <v>1809</v>
      </c>
      <c r="D1763" s="24" t="s">
        <v>89</v>
      </c>
      <c r="E1763" s="24">
        <v>0.01</v>
      </c>
      <c r="F1763" s="24" t="s">
        <v>281</v>
      </c>
      <c r="G1763" s="24"/>
      <c r="H1763" s="24"/>
      <c r="I1763" s="24" t="s">
        <v>38</v>
      </c>
      <c r="J1763" s="69" t="s">
        <v>1810</v>
      </c>
      <c r="K1763" s="24"/>
    </row>
    <row r="1764" ht="42.75" outlineLevel="1" spans="1:11">
      <c r="A1764" s="24"/>
      <c r="B1764" s="81" t="str">
        <f t="shared" si="48"/>
        <v>1317</v>
      </c>
      <c r="C1764" s="69" t="s">
        <v>1811</v>
      </c>
      <c r="D1764" s="24" t="s">
        <v>89</v>
      </c>
      <c r="E1764" s="24">
        <v>1</v>
      </c>
      <c r="F1764" s="24" t="s">
        <v>1102</v>
      </c>
      <c r="G1764" s="24"/>
      <c r="H1764" s="24"/>
      <c r="I1764" s="24" t="s">
        <v>38</v>
      </c>
      <c r="J1764" s="69" t="s">
        <v>1812</v>
      </c>
      <c r="K1764" s="24"/>
    </row>
    <row r="1765" ht="42.75" outlineLevel="1" spans="1:11">
      <c r="A1765" s="24"/>
      <c r="B1765" s="81" t="str">
        <f t="shared" si="48"/>
        <v>1318</v>
      </c>
      <c r="C1765" s="69" t="s">
        <v>1813</v>
      </c>
      <c r="D1765" s="24" t="s">
        <v>89</v>
      </c>
      <c r="E1765" s="24">
        <v>0.01</v>
      </c>
      <c r="F1765" s="24" t="s">
        <v>281</v>
      </c>
      <c r="G1765" s="24"/>
      <c r="H1765" s="24"/>
      <c r="I1765" s="24" t="s">
        <v>38</v>
      </c>
      <c r="J1765" s="69" t="s">
        <v>1814</v>
      </c>
      <c r="K1765" s="24"/>
    </row>
    <row r="1766" ht="42.75" outlineLevel="1" spans="1:11">
      <c r="A1766" s="24"/>
      <c r="B1766" s="81" t="str">
        <f t="shared" si="48"/>
        <v>1319</v>
      </c>
      <c r="C1766" s="69" t="s">
        <v>1815</v>
      </c>
      <c r="D1766" s="24" t="s">
        <v>89</v>
      </c>
      <c r="E1766" s="24">
        <v>1</v>
      </c>
      <c r="F1766" s="24" t="s">
        <v>1102</v>
      </c>
      <c r="G1766" s="24"/>
      <c r="H1766" s="24"/>
      <c r="I1766" s="24" t="s">
        <v>38</v>
      </c>
      <c r="J1766" s="69" t="s">
        <v>1816</v>
      </c>
      <c r="K1766" s="24"/>
    </row>
    <row r="1767" ht="42.75" outlineLevel="1" spans="1:11">
      <c r="A1767" s="24"/>
      <c r="B1767" s="81" t="str">
        <f t="shared" si="48"/>
        <v>131A</v>
      </c>
      <c r="C1767" s="69" t="s">
        <v>1817</v>
      </c>
      <c r="D1767" s="24" t="s">
        <v>89</v>
      </c>
      <c r="E1767" s="24">
        <v>0.01</v>
      </c>
      <c r="F1767" s="24" t="s">
        <v>281</v>
      </c>
      <c r="G1767" s="24"/>
      <c r="H1767" s="24"/>
      <c r="I1767" s="24" t="s">
        <v>38</v>
      </c>
      <c r="J1767" s="69" t="s">
        <v>1818</v>
      </c>
      <c r="K1767" s="24"/>
    </row>
    <row r="1768" ht="42.75" outlineLevel="1" spans="1:11">
      <c r="A1768" s="24"/>
      <c r="B1768" s="81" t="str">
        <f t="shared" si="48"/>
        <v>131B</v>
      </c>
      <c r="C1768" s="69" t="s">
        <v>1819</v>
      </c>
      <c r="D1768" s="24" t="s">
        <v>89</v>
      </c>
      <c r="E1768" s="24">
        <v>1</v>
      </c>
      <c r="F1768" s="24" t="s">
        <v>1102</v>
      </c>
      <c r="G1768" s="24"/>
      <c r="H1768" s="24"/>
      <c r="I1768" s="24" t="s">
        <v>38</v>
      </c>
      <c r="J1768" s="69" t="s">
        <v>1820</v>
      </c>
      <c r="K1768" s="24"/>
    </row>
    <row r="1769" ht="42.75" outlineLevel="1" spans="1:11">
      <c r="A1769" s="24"/>
      <c r="B1769" s="81" t="str">
        <f t="shared" si="48"/>
        <v>131C</v>
      </c>
      <c r="C1769" s="69" t="s">
        <v>1821</v>
      </c>
      <c r="D1769" s="24" t="s">
        <v>89</v>
      </c>
      <c r="E1769" s="24">
        <v>0.01</v>
      </c>
      <c r="F1769" s="24" t="s">
        <v>281</v>
      </c>
      <c r="G1769" s="24"/>
      <c r="H1769" s="24"/>
      <c r="I1769" s="24" t="s">
        <v>38</v>
      </c>
      <c r="J1769" s="69" t="s">
        <v>1822</v>
      </c>
      <c r="K1769" s="24"/>
    </row>
    <row r="1770" ht="42.75" outlineLevel="1" spans="1:11">
      <c r="A1770" s="24"/>
      <c r="B1770" s="81" t="str">
        <f t="shared" si="48"/>
        <v>131D</v>
      </c>
      <c r="C1770" s="69" t="s">
        <v>1823</v>
      </c>
      <c r="D1770" s="24" t="s">
        <v>89</v>
      </c>
      <c r="E1770" s="24">
        <v>1</v>
      </c>
      <c r="F1770" s="24" t="s">
        <v>1102</v>
      </c>
      <c r="G1770" s="24"/>
      <c r="H1770" s="24"/>
      <c r="I1770" s="24" t="s">
        <v>38</v>
      </c>
      <c r="J1770" s="69" t="s">
        <v>1824</v>
      </c>
      <c r="K1770" s="24"/>
    </row>
    <row r="1771" ht="42.75" outlineLevel="1" spans="1:11">
      <c r="A1771" s="24"/>
      <c r="B1771" s="81" t="str">
        <f t="shared" si="48"/>
        <v>131E</v>
      </c>
      <c r="C1771" s="69" t="s">
        <v>1825</v>
      </c>
      <c r="D1771" s="24" t="s">
        <v>89</v>
      </c>
      <c r="E1771" s="24">
        <v>0.01</v>
      </c>
      <c r="F1771" s="24" t="s">
        <v>281</v>
      </c>
      <c r="G1771" s="24"/>
      <c r="H1771" s="24"/>
      <c r="I1771" s="24" t="s">
        <v>38</v>
      </c>
      <c r="J1771" s="69" t="s">
        <v>1826</v>
      </c>
      <c r="K1771" s="24"/>
    </row>
    <row r="1772" ht="42.75" outlineLevel="1" spans="1:11">
      <c r="A1772" s="24"/>
      <c r="B1772" s="81" t="str">
        <f t="shared" si="48"/>
        <v>131F</v>
      </c>
      <c r="C1772" s="69" t="s">
        <v>1827</v>
      </c>
      <c r="D1772" s="24" t="s">
        <v>89</v>
      </c>
      <c r="E1772" s="24">
        <v>1</v>
      </c>
      <c r="F1772" s="24" t="s">
        <v>1102</v>
      </c>
      <c r="G1772" s="24"/>
      <c r="H1772" s="24"/>
      <c r="I1772" s="24" t="s">
        <v>38</v>
      </c>
      <c r="J1772" s="69" t="s">
        <v>1828</v>
      </c>
      <c r="K1772" s="24"/>
    </row>
    <row r="1773" ht="42.75" outlineLevel="1" spans="1:11">
      <c r="A1773" s="24"/>
      <c r="B1773" s="81" t="str">
        <f t="shared" si="48"/>
        <v>1320</v>
      </c>
      <c r="C1773" s="69" t="s">
        <v>1829</v>
      </c>
      <c r="D1773" s="24" t="s">
        <v>89</v>
      </c>
      <c r="E1773" s="24">
        <v>0.01</v>
      </c>
      <c r="F1773" s="24" t="s">
        <v>281</v>
      </c>
      <c r="G1773" s="24"/>
      <c r="H1773" s="24"/>
      <c r="I1773" s="24" t="s">
        <v>38</v>
      </c>
      <c r="J1773" s="69" t="s">
        <v>1830</v>
      </c>
      <c r="K1773" s="24"/>
    </row>
    <row r="1774" ht="42.75" outlineLevel="1" spans="1:11">
      <c r="A1774" s="24"/>
      <c r="B1774" s="81" t="str">
        <f t="shared" si="48"/>
        <v>1321</v>
      </c>
      <c r="C1774" s="69" t="s">
        <v>1831</v>
      </c>
      <c r="D1774" s="24" t="s">
        <v>89</v>
      </c>
      <c r="E1774" s="24">
        <v>1</v>
      </c>
      <c r="F1774" s="24" t="s">
        <v>1102</v>
      </c>
      <c r="G1774" s="24"/>
      <c r="H1774" s="24"/>
      <c r="I1774" s="24" t="s">
        <v>38</v>
      </c>
      <c r="J1774" s="69" t="s">
        <v>1832</v>
      </c>
      <c r="K1774" s="24"/>
    </row>
    <row r="1775" ht="42.75" outlineLevel="1" spans="1:11">
      <c r="A1775" s="24"/>
      <c r="B1775" s="81" t="str">
        <f t="shared" si="48"/>
        <v>1322</v>
      </c>
      <c r="C1775" s="69" t="s">
        <v>1833</v>
      </c>
      <c r="D1775" s="24" t="s">
        <v>89</v>
      </c>
      <c r="E1775" s="24">
        <v>0.01</v>
      </c>
      <c r="F1775" s="24" t="s">
        <v>281</v>
      </c>
      <c r="G1775" s="24"/>
      <c r="H1775" s="24"/>
      <c r="I1775" s="24" t="s">
        <v>38</v>
      </c>
      <c r="J1775" s="69" t="s">
        <v>1834</v>
      </c>
      <c r="K1775" s="24"/>
    </row>
    <row r="1776" ht="42.75" outlineLevel="1" spans="1:11">
      <c r="A1776" s="24"/>
      <c r="B1776" s="81" t="str">
        <f t="shared" si="48"/>
        <v>1323</v>
      </c>
      <c r="C1776" s="69" t="s">
        <v>1835</v>
      </c>
      <c r="D1776" s="24" t="s">
        <v>89</v>
      </c>
      <c r="E1776" s="24">
        <v>1</v>
      </c>
      <c r="F1776" s="24" t="s">
        <v>1102</v>
      </c>
      <c r="G1776" s="24"/>
      <c r="H1776" s="24"/>
      <c r="I1776" s="24" t="s">
        <v>38</v>
      </c>
      <c r="J1776" s="69" t="s">
        <v>1836</v>
      </c>
      <c r="K1776" s="24"/>
    </row>
    <row r="1777" outlineLevel="1" spans="1:11">
      <c r="A1777" s="24"/>
      <c r="B1777" s="81" t="str">
        <f t="shared" si="48"/>
        <v>1324</v>
      </c>
      <c r="C1777" s="69" t="s">
        <v>1837</v>
      </c>
      <c r="D1777" s="24"/>
      <c r="E1777" s="24"/>
      <c r="F1777" s="24"/>
      <c r="G1777" s="24"/>
      <c r="H1777" s="24"/>
      <c r="I1777" s="24"/>
      <c r="J1777" s="83" t="s">
        <v>1838</v>
      </c>
      <c r="K1777" s="24"/>
    </row>
    <row r="1778" outlineLevel="1" spans="1:11">
      <c r="A1778" s="24"/>
      <c r="B1778" s="81" t="str">
        <f t="shared" si="48"/>
        <v>1325</v>
      </c>
      <c r="C1778" s="69" t="s">
        <v>1839</v>
      </c>
      <c r="D1778" s="24"/>
      <c r="E1778" s="24"/>
      <c r="F1778" s="24"/>
      <c r="G1778" s="24"/>
      <c r="H1778" s="24"/>
      <c r="I1778" s="24"/>
      <c r="J1778" s="83" t="s">
        <v>1840</v>
      </c>
      <c r="K1778" s="24"/>
    </row>
    <row r="1779" outlineLevel="1" spans="1:11">
      <c r="A1779" s="24"/>
      <c r="B1779" s="81" t="str">
        <f t="shared" si="48"/>
        <v>1326</v>
      </c>
      <c r="C1779" s="69" t="s">
        <v>1841</v>
      </c>
      <c r="D1779" s="24"/>
      <c r="E1779" s="24"/>
      <c r="F1779" s="24"/>
      <c r="G1779" s="24"/>
      <c r="H1779" s="24"/>
      <c r="I1779" s="24"/>
      <c r="J1779" s="83" t="s">
        <v>1842</v>
      </c>
      <c r="K1779" s="24"/>
    </row>
    <row r="1780" outlineLevel="1" spans="1:11">
      <c r="A1780" s="24"/>
      <c r="B1780" s="81" t="str">
        <f t="shared" si="48"/>
        <v>1327</v>
      </c>
      <c r="C1780" s="69" t="s">
        <v>1843</v>
      </c>
      <c r="D1780" s="24"/>
      <c r="E1780" s="24"/>
      <c r="F1780" s="24"/>
      <c r="G1780" s="24"/>
      <c r="H1780" s="24"/>
      <c r="I1780" s="24"/>
      <c r="J1780" s="83" t="s">
        <v>1844</v>
      </c>
      <c r="K1780" s="24"/>
    </row>
    <row r="1781" outlineLevel="1" spans="1:11">
      <c r="A1781" s="24"/>
      <c r="B1781" s="81" t="str">
        <f t="shared" si="48"/>
        <v>1328</v>
      </c>
      <c r="C1781" s="69" t="s">
        <v>1845</v>
      </c>
      <c r="D1781" s="24"/>
      <c r="E1781" s="24"/>
      <c r="F1781" s="24"/>
      <c r="G1781" s="24"/>
      <c r="H1781" s="24"/>
      <c r="I1781" s="24"/>
      <c r="J1781" s="83" t="s">
        <v>1846</v>
      </c>
      <c r="K1781" s="24"/>
    </row>
    <row r="1782" outlineLevel="1" spans="1:11">
      <c r="A1782" s="24"/>
      <c r="B1782" s="81" t="str">
        <f t="shared" si="48"/>
        <v>1329</v>
      </c>
      <c r="C1782" s="69" t="s">
        <v>1847</v>
      </c>
      <c r="D1782" s="24"/>
      <c r="E1782" s="24"/>
      <c r="F1782" s="24"/>
      <c r="G1782" s="24"/>
      <c r="H1782" s="24"/>
      <c r="I1782" s="24"/>
      <c r="J1782" s="83" t="s">
        <v>1848</v>
      </c>
      <c r="K1782" s="24"/>
    </row>
    <row r="1783" outlineLevel="1" spans="1:11">
      <c r="A1783" s="24"/>
      <c r="B1783" s="81" t="str">
        <f t="shared" si="48"/>
        <v>132A</v>
      </c>
      <c r="C1783" s="69" t="s">
        <v>1849</v>
      </c>
      <c r="D1783" s="24"/>
      <c r="E1783" s="24"/>
      <c r="F1783" s="24"/>
      <c r="G1783" s="24"/>
      <c r="H1783" s="24"/>
      <c r="I1783" s="24"/>
      <c r="J1783" s="83" t="s">
        <v>1850</v>
      </c>
      <c r="K1783" s="24"/>
    </row>
    <row r="1784" outlineLevel="1" spans="1:11">
      <c r="A1784" s="24"/>
      <c r="B1784" s="81" t="str">
        <f t="shared" si="48"/>
        <v>132B</v>
      </c>
      <c r="C1784" s="69" t="s">
        <v>1851</v>
      </c>
      <c r="D1784" s="24"/>
      <c r="E1784" s="24"/>
      <c r="F1784" s="24"/>
      <c r="G1784" s="24"/>
      <c r="H1784" s="24"/>
      <c r="I1784" s="24"/>
      <c r="J1784" s="83" t="s">
        <v>1852</v>
      </c>
      <c r="K1784" s="24"/>
    </row>
    <row r="1785" outlineLevel="1" spans="1:11">
      <c r="A1785" s="24"/>
      <c r="B1785" s="81" t="str">
        <f t="shared" si="48"/>
        <v>132C</v>
      </c>
      <c r="C1785" s="69" t="s">
        <v>1853</v>
      </c>
      <c r="D1785" s="24"/>
      <c r="E1785" s="24"/>
      <c r="F1785" s="24"/>
      <c r="G1785" s="24"/>
      <c r="H1785" s="24"/>
      <c r="I1785" s="24"/>
      <c r="J1785" s="83" t="s">
        <v>1854</v>
      </c>
      <c r="K1785" s="24"/>
    </row>
    <row r="1786" outlineLevel="1" spans="1:11">
      <c r="A1786" s="24"/>
      <c r="B1786" s="81" t="str">
        <f t="shared" si="48"/>
        <v>132D</v>
      </c>
      <c r="C1786" s="69" t="s">
        <v>1855</v>
      </c>
      <c r="D1786" s="24"/>
      <c r="E1786" s="24"/>
      <c r="F1786" s="24"/>
      <c r="G1786" s="24"/>
      <c r="H1786" s="24"/>
      <c r="I1786" s="24"/>
      <c r="J1786" s="83" t="s">
        <v>1856</v>
      </c>
      <c r="K1786" s="24"/>
    </row>
    <row r="1787" outlineLevel="1" spans="1:11">
      <c r="A1787" s="24"/>
      <c r="B1787" s="81" t="str">
        <f t="shared" si="48"/>
        <v>132E</v>
      </c>
      <c r="C1787" s="69" t="s">
        <v>1857</v>
      </c>
      <c r="D1787" s="24"/>
      <c r="E1787" s="24"/>
      <c r="F1787" s="24"/>
      <c r="G1787" s="24"/>
      <c r="H1787" s="24"/>
      <c r="I1787" s="24"/>
      <c r="J1787" s="83" t="s">
        <v>1858</v>
      </c>
      <c r="K1787" s="24"/>
    </row>
    <row r="1788" outlineLevel="1" spans="1:11">
      <c r="A1788" s="24"/>
      <c r="B1788" s="81" t="str">
        <f t="shared" si="48"/>
        <v>132F</v>
      </c>
      <c r="C1788" s="69" t="s">
        <v>1859</v>
      </c>
      <c r="D1788" s="24"/>
      <c r="E1788" s="24"/>
      <c r="F1788" s="24"/>
      <c r="G1788" s="24"/>
      <c r="H1788" s="24"/>
      <c r="I1788" s="24"/>
      <c r="J1788" s="83" t="s">
        <v>1860</v>
      </c>
      <c r="K1788" s="24"/>
    </row>
    <row r="1789" outlineLevel="1" spans="1:11">
      <c r="A1789" s="24"/>
      <c r="B1789" s="81" t="str">
        <f t="shared" si="48"/>
        <v>1330</v>
      </c>
      <c r="C1789" s="69" t="s">
        <v>1861</v>
      </c>
      <c r="D1789" s="24"/>
      <c r="E1789" s="24"/>
      <c r="F1789" s="24"/>
      <c r="G1789" s="24"/>
      <c r="H1789" s="24"/>
      <c r="I1789" s="24"/>
      <c r="J1789" s="83" t="s">
        <v>1862</v>
      </c>
      <c r="K1789" s="24"/>
    </row>
    <row r="1790" outlineLevel="1" spans="1:11">
      <c r="A1790" s="24"/>
      <c r="B1790" s="81" t="str">
        <f t="shared" si="48"/>
        <v>1331</v>
      </c>
      <c r="C1790" s="69" t="s">
        <v>1863</v>
      </c>
      <c r="D1790" s="24"/>
      <c r="E1790" s="24"/>
      <c r="F1790" s="24"/>
      <c r="G1790" s="24"/>
      <c r="H1790" s="24"/>
      <c r="I1790" s="24"/>
      <c r="J1790" s="83" t="s">
        <v>1864</v>
      </c>
      <c r="K1790" s="24"/>
    </row>
    <row r="1791" outlineLevel="1" spans="1:11">
      <c r="A1791" s="24"/>
      <c r="B1791" s="81" t="str">
        <f t="shared" si="48"/>
        <v>1332</v>
      </c>
      <c r="C1791" s="69" t="s">
        <v>1865</v>
      </c>
      <c r="D1791" s="24"/>
      <c r="E1791" s="24"/>
      <c r="F1791" s="24"/>
      <c r="G1791" s="24"/>
      <c r="H1791" s="24"/>
      <c r="I1791" s="24"/>
      <c r="J1791" s="83" t="s">
        <v>1866</v>
      </c>
      <c r="K1791" s="24"/>
    </row>
    <row r="1792" outlineLevel="1" spans="1:11">
      <c r="A1792" s="24"/>
      <c r="B1792" s="81" t="str">
        <f t="shared" si="48"/>
        <v>1333</v>
      </c>
      <c r="C1792" s="69" t="s">
        <v>1867</v>
      </c>
      <c r="D1792" s="24"/>
      <c r="E1792" s="24"/>
      <c r="F1792" s="24"/>
      <c r="G1792" s="24"/>
      <c r="H1792" s="24"/>
      <c r="I1792" s="24"/>
      <c r="J1792" s="83" t="s">
        <v>1868</v>
      </c>
      <c r="K1792" s="24"/>
    </row>
    <row r="1793" outlineLevel="1" spans="1:11">
      <c r="A1793" s="24"/>
      <c r="B1793" s="81"/>
      <c r="C1793" s="75"/>
      <c r="D1793" s="24"/>
      <c r="E1793" s="24"/>
      <c r="F1793" s="24"/>
      <c r="G1793" s="24"/>
      <c r="H1793" s="24"/>
      <c r="I1793" s="24"/>
      <c r="J1793" s="67"/>
      <c r="K1793" s="24"/>
    </row>
    <row r="1794" outlineLevel="1" spans="1:11">
      <c r="A1794" s="24"/>
      <c r="B1794" s="81" t="str">
        <f>DEC2HEX(4928+ROW()-ROW($B$1794),4)</f>
        <v>1340</v>
      </c>
      <c r="C1794" s="63" t="s">
        <v>1869</v>
      </c>
      <c r="D1794" s="59" t="s">
        <v>59</v>
      </c>
      <c r="E1794" s="59"/>
      <c r="F1794" s="59"/>
      <c r="G1794" s="59"/>
      <c r="H1794" s="59"/>
      <c r="I1794" s="59" t="s">
        <v>38</v>
      </c>
      <c r="J1794" s="63" t="s">
        <v>568</v>
      </c>
      <c r="K1794" s="24"/>
    </row>
    <row r="1795" outlineLevel="1" spans="1:11">
      <c r="A1795" s="24"/>
      <c r="B1795" s="81" t="str">
        <f t="shared" ref="B1795:B1862" si="49">DEC2HEX(4928+ROW()-ROW($B$1794),4)</f>
        <v>1341</v>
      </c>
      <c r="C1795" s="63"/>
      <c r="D1795" s="59"/>
      <c r="E1795" s="59"/>
      <c r="F1795" s="59"/>
      <c r="G1795" s="59"/>
      <c r="H1795" s="59"/>
      <c r="I1795" s="59"/>
      <c r="J1795" s="63"/>
      <c r="K1795" s="24"/>
    </row>
    <row r="1796" outlineLevel="1" spans="1:11">
      <c r="A1796" s="24"/>
      <c r="B1796" s="81" t="str">
        <f t="shared" si="49"/>
        <v>1342</v>
      </c>
      <c r="C1796" s="63"/>
      <c r="D1796" s="59"/>
      <c r="E1796" s="59"/>
      <c r="F1796" s="59"/>
      <c r="G1796" s="59"/>
      <c r="H1796" s="59"/>
      <c r="I1796" s="59"/>
      <c r="J1796" s="63"/>
      <c r="K1796" s="24"/>
    </row>
    <row r="1797" ht="79" customHeight="1" outlineLevel="1" spans="1:11">
      <c r="A1797" s="24"/>
      <c r="B1797" s="81" t="str">
        <f t="shared" si="49"/>
        <v>1343</v>
      </c>
      <c r="C1797" s="63"/>
      <c r="D1797" s="59"/>
      <c r="E1797" s="59"/>
      <c r="F1797" s="59"/>
      <c r="G1797" s="59"/>
      <c r="H1797" s="59"/>
      <c r="I1797" s="59"/>
      <c r="J1797" s="63"/>
      <c r="K1797" s="24"/>
    </row>
    <row r="1798" outlineLevel="1" spans="1:11">
      <c r="A1798" s="24"/>
      <c r="B1798" s="81" t="str">
        <f t="shared" si="49"/>
        <v>1344</v>
      </c>
      <c r="C1798" s="69" t="s">
        <v>1870</v>
      </c>
      <c r="D1798" s="76" t="s">
        <v>89</v>
      </c>
      <c r="E1798" s="76">
        <v>0.1</v>
      </c>
      <c r="F1798" s="76" t="s">
        <v>44</v>
      </c>
      <c r="G1798" s="76"/>
      <c r="H1798" s="76"/>
      <c r="I1798" s="76" t="s">
        <v>38</v>
      </c>
      <c r="J1798" s="83" t="s">
        <v>1871</v>
      </c>
      <c r="K1798" s="24"/>
    </row>
    <row r="1799" outlineLevel="1" spans="1:11">
      <c r="A1799" s="24"/>
      <c r="B1799" s="81" t="str">
        <f t="shared" si="49"/>
        <v>1345</v>
      </c>
      <c r="C1799" s="69" t="s">
        <v>1872</v>
      </c>
      <c r="D1799" s="76" t="s">
        <v>89</v>
      </c>
      <c r="E1799" s="76">
        <v>0.01</v>
      </c>
      <c r="F1799" s="76" t="s">
        <v>303</v>
      </c>
      <c r="G1799" s="76"/>
      <c r="H1799" s="76"/>
      <c r="I1799" s="76" t="s">
        <v>38</v>
      </c>
      <c r="J1799" s="83" t="s">
        <v>1873</v>
      </c>
      <c r="K1799" s="24"/>
    </row>
    <row r="1800" outlineLevel="1" spans="1:11">
      <c r="A1800" s="24"/>
      <c r="B1800" s="81" t="str">
        <f t="shared" si="49"/>
        <v>1346</v>
      </c>
      <c r="C1800" s="69" t="s">
        <v>1874</v>
      </c>
      <c r="D1800" s="76" t="s">
        <v>89</v>
      </c>
      <c r="E1800" s="76">
        <v>0.1</v>
      </c>
      <c r="F1800" s="76" t="s">
        <v>44</v>
      </c>
      <c r="G1800" s="76"/>
      <c r="H1800" s="76"/>
      <c r="I1800" s="76" t="s">
        <v>38</v>
      </c>
      <c r="J1800" s="83" t="s">
        <v>1875</v>
      </c>
      <c r="K1800" s="24"/>
    </row>
    <row r="1801" outlineLevel="1" spans="1:11">
      <c r="A1801" s="24"/>
      <c r="B1801" s="81" t="str">
        <f t="shared" si="49"/>
        <v>1347</v>
      </c>
      <c r="C1801" s="69" t="s">
        <v>1876</v>
      </c>
      <c r="D1801" s="76" t="s">
        <v>89</v>
      </c>
      <c r="E1801" s="76">
        <v>0.01</v>
      </c>
      <c r="F1801" s="76" t="s">
        <v>303</v>
      </c>
      <c r="G1801" s="76"/>
      <c r="H1801" s="76"/>
      <c r="I1801" s="76" t="s">
        <v>38</v>
      </c>
      <c r="J1801" s="83" t="s">
        <v>1877</v>
      </c>
      <c r="K1801" s="24"/>
    </row>
    <row r="1802" outlineLevel="1" spans="1:11">
      <c r="A1802" s="24"/>
      <c r="B1802" s="81" t="str">
        <f t="shared" si="49"/>
        <v>1348</v>
      </c>
      <c r="C1802" s="69" t="s">
        <v>1878</v>
      </c>
      <c r="D1802" s="76" t="s">
        <v>89</v>
      </c>
      <c r="E1802" s="76">
        <v>0.1</v>
      </c>
      <c r="F1802" s="76" t="s">
        <v>44</v>
      </c>
      <c r="G1802" s="76"/>
      <c r="H1802" s="76"/>
      <c r="I1802" s="76" t="s">
        <v>38</v>
      </c>
      <c r="J1802" s="83" t="s">
        <v>1879</v>
      </c>
      <c r="K1802" s="24"/>
    </row>
    <row r="1803" outlineLevel="1" spans="1:11">
      <c r="A1803" s="24"/>
      <c r="B1803" s="81" t="str">
        <f t="shared" si="49"/>
        <v>1349</v>
      </c>
      <c r="C1803" s="69" t="s">
        <v>1880</v>
      </c>
      <c r="D1803" s="76" t="s">
        <v>89</v>
      </c>
      <c r="E1803" s="76">
        <v>0.01</v>
      </c>
      <c r="F1803" s="76" t="s">
        <v>303</v>
      </c>
      <c r="G1803" s="76"/>
      <c r="H1803" s="76"/>
      <c r="I1803" s="76" t="s">
        <v>38</v>
      </c>
      <c r="J1803" s="83" t="s">
        <v>1881</v>
      </c>
      <c r="K1803" s="24"/>
    </row>
    <row r="1804" outlineLevel="1" spans="1:11">
      <c r="A1804" s="24"/>
      <c r="B1804" s="81" t="str">
        <f t="shared" si="49"/>
        <v>134A</v>
      </c>
      <c r="C1804" s="69" t="s">
        <v>1882</v>
      </c>
      <c r="D1804" s="76" t="s">
        <v>89</v>
      </c>
      <c r="E1804" s="76">
        <v>0.1</v>
      </c>
      <c r="F1804" s="76" t="s">
        <v>44</v>
      </c>
      <c r="G1804" s="76"/>
      <c r="H1804" s="76"/>
      <c r="I1804" s="76" t="s">
        <v>38</v>
      </c>
      <c r="J1804" s="83" t="s">
        <v>1883</v>
      </c>
      <c r="K1804" s="24"/>
    </row>
    <row r="1805" outlineLevel="1" spans="1:11">
      <c r="A1805" s="24"/>
      <c r="B1805" s="81" t="str">
        <f t="shared" si="49"/>
        <v>134B</v>
      </c>
      <c r="C1805" s="69" t="s">
        <v>1884</v>
      </c>
      <c r="D1805" s="76" t="s">
        <v>89</v>
      </c>
      <c r="E1805" s="76">
        <v>0.01</v>
      </c>
      <c r="F1805" s="76" t="s">
        <v>303</v>
      </c>
      <c r="G1805" s="76"/>
      <c r="H1805" s="76"/>
      <c r="I1805" s="76" t="s">
        <v>38</v>
      </c>
      <c r="J1805" s="83" t="s">
        <v>1885</v>
      </c>
      <c r="K1805" s="24"/>
    </row>
    <row r="1806" outlineLevel="1" spans="1:11">
      <c r="A1806" s="24"/>
      <c r="B1806" s="81" t="str">
        <f t="shared" si="49"/>
        <v>134C</v>
      </c>
      <c r="C1806" s="69" t="s">
        <v>1886</v>
      </c>
      <c r="D1806" s="76" t="s">
        <v>89</v>
      </c>
      <c r="E1806" s="76">
        <v>0.1</v>
      </c>
      <c r="F1806" s="76" t="s">
        <v>44</v>
      </c>
      <c r="G1806" s="76"/>
      <c r="H1806" s="76"/>
      <c r="I1806" s="76" t="s">
        <v>38</v>
      </c>
      <c r="J1806" s="83" t="s">
        <v>1887</v>
      </c>
      <c r="K1806" s="24"/>
    </row>
    <row r="1807" outlineLevel="1" spans="1:11">
      <c r="A1807" s="24"/>
      <c r="B1807" s="81" t="str">
        <f t="shared" si="49"/>
        <v>134D</v>
      </c>
      <c r="C1807" s="69" t="s">
        <v>1888</v>
      </c>
      <c r="D1807" s="76" t="s">
        <v>89</v>
      </c>
      <c r="E1807" s="76">
        <v>0.01</v>
      </c>
      <c r="F1807" s="76" t="s">
        <v>303</v>
      </c>
      <c r="G1807" s="76"/>
      <c r="H1807" s="76"/>
      <c r="I1807" s="76" t="s">
        <v>38</v>
      </c>
      <c r="J1807" s="83" t="s">
        <v>1889</v>
      </c>
      <c r="K1807" s="24"/>
    </row>
    <row r="1808" outlineLevel="1" spans="1:11">
      <c r="A1808" s="24"/>
      <c r="B1808" s="81" t="str">
        <f t="shared" si="49"/>
        <v>134E</v>
      </c>
      <c r="C1808" s="69" t="s">
        <v>1890</v>
      </c>
      <c r="D1808" s="76" t="s">
        <v>89</v>
      </c>
      <c r="E1808" s="76">
        <v>0.1</v>
      </c>
      <c r="F1808" s="76" t="s">
        <v>44</v>
      </c>
      <c r="G1808" s="76"/>
      <c r="H1808" s="76"/>
      <c r="I1808" s="76" t="s">
        <v>38</v>
      </c>
      <c r="J1808" s="83" t="s">
        <v>1891</v>
      </c>
      <c r="K1808" s="24"/>
    </row>
    <row r="1809" outlineLevel="1" spans="1:11">
      <c r="A1809" s="24"/>
      <c r="B1809" s="81" t="str">
        <f t="shared" si="49"/>
        <v>134F</v>
      </c>
      <c r="C1809" s="69" t="s">
        <v>1892</v>
      </c>
      <c r="D1809" s="76" t="s">
        <v>89</v>
      </c>
      <c r="E1809" s="76">
        <v>0.01</v>
      </c>
      <c r="F1809" s="76" t="s">
        <v>303</v>
      </c>
      <c r="G1809" s="76"/>
      <c r="H1809" s="76"/>
      <c r="I1809" s="76" t="s">
        <v>38</v>
      </c>
      <c r="J1809" s="83" t="s">
        <v>1893</v>
      </c>
      <c r="K1809" s="24"/>
    </row>
    <row r="1810" outlineLevel="1" spans="1:11">
      <c r="A1810" s="24"/>
      <c r="B1810" s="81" t="str">
        <f t="shared" si="49"/>
        <v>1350</v>
      </c>
      <c r="C1810" s="69" t="s">
        <v>1894</v>
      </c>
      <c r="D1810" s="76" t="s">
        <v>89</v>
      </c>
      <c r="E1810" s="76">
        <v>0.1</v>
      </c>
      <c r="F1810" s="76" t="s">
        <v>44</v>
      </c>
      <c r="G1810" s="76"/>
      <c r="H1810" s="76"/>
      <c r="I1810" s="76" t="s">
        <v>38</v>
      </c>
      <c r="J1810" s="83" t="s">
        <v>1895</v>
      </c>
      <c r="K1810" s="24"/>
    </row>
    <row r="1811" outlineLevel="1" spans="1:11">
      <c r="A1811" s="24"/>
      <c r="B1811" s="81" t="str">
        <f t="shared" si="49"/>
        <v>1351</v>
      </c>
      <c r="C1811" s="69" t="s">
        <v>1896</v>
      </c>
      <c r="D1811" s="76" t="s">
        <v>89</v>
      </c>
      <c r="E1811" s="76">
        <v>0.01</v>
      </c>
      <c r="F1811" s="76" t="s">
        <v>303</v>
      </c>
      <c r="G1811" s="76"/>
      <c r="H1811" s="76"/>
      <c r="I1811" s="76" t="s">
        <v>38</v>
      </c>
      <c r="J1811" s="83" t="s">
        <v>1897</v>
      </c>
      <c r="K1811" s="24"/>
    </row>
    <row r="1812" outlineLevel="1" spans="1:11">
      <c r="A1812" s="24"/>
      <c r="B1812" s="81" t="str">
        <f t="shared" si="49"/>
        <v>1352</v>
      </c>
      <c r="C1812" s="69" t="s">
        <v>1898</v>
      </c>
      <c r="D1812" s="76" t="s">
        <v>89</v>
      </c>
      <c r="E1812" s="76">
        <v>0.1</v>
      </c>
      <c r="F1812" s="76" t="s">
        <v>44</v>
      </c>
      <c r="G1812" s="76"/>
      <c r="H1812" s="76"/>
      <c r="I1812" s="76" t="s">
        <v>38</v>
      </c>
      <c r="J1812" s="83" t="s">
        <v>1899</v>
      </c>
      <c r="K1812" s="24"/>
    </row>
    <row r="1813" outlineLevel="1" spans="1:11">
      <c r="A1813" s="24"/>
      <c r="B1813" s="81" t="str">
        <f t="shared" si="49"/>
        <v>1353</v>
      </c>
      <c r="C1813" s="69" t="s">
        <v>1900</v>
      </c>
      <c r="D1813" s="76" t="s">
        <v>89</v>
      </c>
      <c r="E1813" s="76">
        <v>0.01</v>
      </c>
      <c r="F1813" s="76" t="s">
        <v>303</v>
      </c>
      <c r="G1813" s="76"/>
      <c r="H1813" s="76"/>
      <c r="I1813" s="76" t="s">
        <v>38</v>
      </c>
      <c r="J1813" s="83" t="s">
        <v>1901</v>
      </c>
      <c r="K1813" s="24"/>
    </row>
    <row r="1814" outlineLevel="1" spans="1:11">
      <c r="A1814" s="24"/>
      <c r="B1814" s="81" t="str">
        <f t="shared" si="49"/>
        <v>1354</v>
      </c>
      <c r="C1814" s="69" t="s">
        <v>1902</v>
      </c>
      <c r="D1814" s="76" t="s">
        <v>89</v>
      </c>
      <c r="E1814" s="76">
        <v>0.1</v>
      </c>
      <c r="F1814" s="76" t="s">
        <v>44</v>
      </c>
      <c r="G1814" s="76"/>
      <c r="H1814" s="76"/>
      <c r="I1814" s="76" t="s">
        <v>38</v>
      </c>
      <c r="J1814" s="83" t="s">
        <v>1903</v>
      </c>
      <c r="K1814" s="24"/>
    </row>
    <row r="1815" outlineLevel="1" spans="1:11">
      <c r="A1815" s="24"/>
      <c r="B1815" s="81" t="str">
        <f t="shared" si="49"/>
        <v>1355</v>
      </c>
      <c r="C1815" s="69" t="s">
        <v>1904</v>
      </c>
      <c r="D1815" s="76" t="s">
        <v>89</v>
      </c>
      <c r="E1815" s="76">
        <v>0.01</v>
      </c>
      <c r="F1815" s="76" t="s">
        <v>303</v>
      </c>
      <c r="G1815" s="76"/>
      <c r="H1815" s="76"/>
      <c r="I1815" s="76" t="s">
        <v>38</v>
      </c>
      <c r="J1815" s="83" t="s">
        <v>1905</v>
      </c>
      <c r="K1815" s="24"/>
    </row>
    <row r="1816" outlineLevel="1" spans="1:11">
      <c r="A1816" s="24"/>
      <c r="B1816" s="81" t="str">
        <f t="shared" si="49"/>
        <v>1356</v>
      </c>
      <c r="C1816" s="69" t="s">
        <v>1906</v>
      </c>
      <c r="D1816" s="76" t="s">
        <v>89</v>
      </c>
      <c r="E1816" s="76">
        <v>0.1</v>
      </c>
      <c r="F1816" s="76" t="s">
        <v>44</v>
      </c>
      <c r="G1816" s="76"/>
      <c r="H1816" s="76"/>
      <c r="I1816" s="76" t="s">
        <v>38</v>
      </c>
      <c r="J1816" s="83" t="s">
        <v>1907</v>
      </c>
      <c r="K1816" s="24"/>
    </row>
    <row r="1817" outlineLevel="1" spans="1:11">
      <c r="A1817" s="24"/>
      <c r="B1817" s="81" t="str">
        <f t="shared" si="49"/>
        <v>1357</v>
      </c>
      <c r="C1817" s="69" t="s">
        <v>1908</v>
      </c>
      <c r="D1817" s="76" t="s">
        <v>89</v>
      </c>
      <c r="E1817" s="76">
        <v>0.01</v>
      </c>
      <c r="F1817" s="76" t="s">
        <v>303</v>
      </c>
      <c r="G1817" s="76"/>
      <c r="H1817" s="76"/>
      <c r="I1817" s="76" t="s">
        <v>38</v>
      </c>
      <c r="J1817" s="83" t="s">
        <v>1909</v>
      </c>
      <c r="K1817" s="24"/>
    </row>
    <row r="1818" outlineLevel="1" spans="1:11">
      <c r="A1818" s="24"/>
      <c r="B1818" s="81" t="str">
        <f t="shared" si="49"/>
        <v>1358</v>
      </c>
      <c r="C1818" s="69" t="s">
        <v>1910</v>
      </c>
      <c r="D1818" s="76" t="s">
        <v>89</v>
      </c>
      <c r="E1818" s="76">
        <v>0.1</v>
      </c>
      <c r="F1818" s="76" t="s">
        <v>44</v>
      </c>
      <c r="G1818" s="76"/>
      <c r="H1818" s="76"/>
      <c r="I1818" s="76" t="s">
        <v>38</v>
      </c>
      <c r="J1818" s="83" t="s">
        <v>1911</v>
      </c>
      <c r="K1818" s="24"/>
    </row>
    <row r="1819" outlineLevel="1" spans="1:11">
      <c r="A1819" s="24"/>
      <c r="B1819" s="81" t="str">
        <f t="shared" si="49"/>
        <v>1359</v>
      </c>
      <c r="C1819" s="69" t="s">
        <v>1912</v>
      </c>
      <c r="D1819" s="76" t="s">
        <v>89</v>
      </c>
      <c r="E1819" s="76">
        <v>0.01</v>
      </c>
      <c r="F1819" s="76" t="s">
        <v>303</v>
      </c>
      <c r="G1819" s="76"/>
      <c r="H1819" s="76"/>
      <c r="I1819" s="76" t="s">
        <v>38</v>
      </c>
      <c r="J1819" s="83" t="s">
        <v>1913</v>
      </c>
      <c r="K1819" s="24"/>
    </row>
    <row r="1820" outlineLevel="1" spans="1:11">
      <c r="A1820" s="24"/>
      <c r="B1820" s="81" t="str">
        <f t="shared" si="49"/>
        <v>135A</v>
      </c>
      <c r="C1820" s="69" t="s">
        <v>1914</v>
      </c>
      <c r="D1820" s="76" t="s">
        <v>89</v>
      </c>
      <c r="E1820" s="76">
        <v>0.1</v>
      </c>
      <c r="F1820" s="76" t="s">
        <v>44</v>
      </c>
      <c r="G1820" s="76"/>
      <c r="H1820" s="76"/>
      <c r="I1820" s="76" t="s">
        <v>38</v>
      </c>
      <c r="J1820" s="83" t="s">
        <v>1915</v>
      </c>
      <c r="K1820" s="24"/>
    </row>
    <row r="1821" outlineLevel="1" spans="1:11">
      <c r="A1821" s="24"/>
      <c r="B1821" s="81" t="str">
        <f t="shared" si="49"/>
        <v>135B</v>
      </c>
      <c r="C1821" s="69" t="s">
        <v>1916</v>
      </c>
      <c r="D1821" s="76" t="s">
        <v>89</v>
      </c>
      <c r="E1821" s="76">
        <v>0.01</v>
      </c>
      <c r="F1821" s="76" t="s">
        <v>303</v>
      </c>
      <c r="G1821" s="76"/>
      <c r="H1821" s="76"/>
      <c r="I1821" s="76" t="s">
        <v>38</v>
      </c>
      <c r="J1821" s="83" t="s">
        <v>1917</v>
      </c>
      <c r="K1821" s="24"/>
    </row>
    <row r="1822" outlineLevel="1" spans="1:11">
      <c r="A1822" s="24"/>
      <c r="B1822" s="81" t="str">
        <f t="shared" si="49"/>
        <v>135C</v>
      </c>
      <c r="C1822" s="69" t="s">
        <v>1918</v>
      </c>
      <c r="D1822" s="76" t="s">
        <v>89</v>
      </c>
      <c r="E1822" s="76">
        <v>0.1</v>
      </c>
      <c r="F1822" s="76" t="s">
        <v>44</v>
      </c>
      <c r="G1822" s="76"/>
      <c r="H1822" s="76"/>
      <c r="I1822" s="76" t="s">
        <v>38</v>
      </c>
      <c r="J1822" s="83" t="s">
        <v>1919</v>
      </c>
      <c r="K1822" s="24"/>
    </row>
    <row r="1823" outlineLevel="1" spans="1:11">
      <c r="A1823" s="24"/>
      <c r="B1823" s="81" t="str">
        <f t="shared" si="49"/>
        <v>135D</v>
      </c>
      <c r="C1823" s="69" t="s">
        <v>1920</v>
      </c>
      <c r="D1823" s="76" t="s">
        <v>89</v>
      </c>
      <c r="E1823" s="76">
        <v>0.01</v>
      </c>
      <c r="F1823" s="76" t="s">
        <v>303</v>
      </c>
      <c r="G1823" s="76"/>
      <c r="H1823" s="76"/>
      <c r="I1823" s="76" t="s">
        <v>38</v>
      </c>
      <c r="J1823" s="83" t="s">
        <v>1921</v>
      </c>
      <c r="K1823" s="24"/>
    </row>
    <row r="1824" outlineLevel="1" spans="1:11">
      <c r="A1824" s="24"/>
      <c r="B1824" s="81" t="str">
        <f t="shared" si="49"/>
        <v>135E</v>
      </c>
      <c r="C1824" s="69" t="s">
        <v>1922</v>
      </c>
      <c r="D1824" s="76" t="s">
        <v>89</v>
      </c>
      <c r="E1824" s="76">
        <v>0.1</v>
      </c>
      <c r="F1824" s="76" t="s">
        <v>44</v>
      </c>
      <c r="G1824" s="76"/>
      <c r="H1824" s="76"/>
      <c r="I1824" s="76" t="s">
        <v>38</v>
      </c>
      <c r="J1824" s="83" t="s">
        <v>1923</v>
      </c>
      <c r="K1824" s="24"/>
    </row>
    <row r="1825" outlineLevel="1" spans="1:11">
      <c r="A1825" s="24"/>
      <c r="B1825" s="81" t="str">
        <f t="shared" si="49"/>
        <v>135F</v>
      </c>
      <c r="C1825" s="69" t="s">
        <v>1924</v>
      </c>
      <c r="D1825" s="76" t="s">
        <v>89</v>
      </c>
      <c r="E1825" s="76">
        <v>0.01</v>
      </c>
      <c r="F1825" s="76" t="s">
        <v>303</v>
      </c>
      <c r="G1825" s="76"/>
      <c r="H1825" s="76"/>
      <c r="I1825" s="76" t="s">
        <v>38</v>
      </c>
      <c r="J1825" s="83" t="s">
        <v>1925</v>
      </c>
      <c r="K1825" s="24"/>
    </row>
    <row r="1826" outlineLevel="1" spans="1:11">
      <c r="A1826" s="24"/>
      <c r="B1826" s="81" t="str">
        <f t="shared" si="49"/>
        <v>1360</v>
      </c>
      <c r="C1826" s="69" t="s">
        <v>1926</v>
      </c>
      <c r="D1826" s="76" t="s">
        <v>89</v>
      </c>
      <c r="E1826" s="76">
        <v>0.1</v>
      </c>
      <c r="F1826" s="76" t="s">
        <v>44</v>
      </c>
      <c r="G1826" s="76"/>
      <c r="H1826" s="76"/>
      <c r="I1826" s="76" t="s">
        <v>38</v>
      </c>
      <c r="J1826" s="83" t="s">
        <v>1927</v>
      </c>
      <c r="K1826" s="24"/>
    </row>
    <row r="1827" outlineLevel="1" spans="1:11">
      <c r="A1827" s="24"/>
      <c r="B1827" s="81" t="str">
        <f t="shared" si="49"/>
        <v>1361</v>
      </c>
      <c r="C1827" s="69" t="s">
        <v>1928</v>
      </c>
      <c r="D1827" s="76" t="s">
        <v>89</v>
      </c>
      <c r="E1827" s="76">
        <v>0.01</v>
      </c>
      <c r="F1827" s="76" t="s">
        <v>303</v>
      </c>
      <c r="G1827" s="76"/>
      <c r="H1827" s="76"/>
      <c r="I1827" s="76" t="s">
        <v>38</v>
      </c>
      <c r="J1827" s="83" t="s">
        <v>1929</v>
      </c>
      <c r="K1827" s="24"/>
    </row>
    <row r="1828" outlineLevel="1" spans="1:11">
      <c r="A1828" s="24"/>
      <c r="B1828" s="81" t="str">
        <f t="shared" si="49"/>
        <v>1362</v>
      </c>
      <c r="C1828" s="69" t="s">
        <v>1930</v>
      </c>
      <c r="D1828" s="76" t="s">
        <v>89</v>
      </c>
      <c r="E1828" s="76">
        <v>0.1</v>
      </c>
      <c r="F1828" s="76" t="s">
        <v>44</v>
      </c>
      <c r="G1828" s="76"/>
      <c r="H1828" s="76"/>
      <c r="I1828" s="76" t="s">
        <v>38</v>
      </c>
      <c r="J1828" s="83" t="s">
        <v>1931</v>
      </c>
      <c r="K1828" s="24"/>
    </row>
    <row r="1829" outlineLevel="1" spans="1:11">
      <c r="A1829" s="24"/>
      <c r="B1829" s="81" t="str">
        <f t="shared" si="49"/>
        <v>1363</v>
      </c>
      <c r="C1829" s="69" t="s">
        <v>1932</v>
      </c>
      <c r="D1829" s="76" t="s">
        <v>89</v>
      </c>
      <c r="E1829" s="76">
        <v>0.01</v>
      </c>
      <c r="F1829" s="76" t="s">
        <v>303</v>
      </c>
      <c r="G1829" s="76"/>
      <c r="H1829" s="76"/>
      <c r="I1829" s="76" t="s">
        <v>38</v>
      </c>
      <c r="J1829" s="83" t="s">
        <v>1933</v>
      </c>
      <c r="K1829" s="24"/>
    </row>
    <row r="1830" outlineLevel="1" spans="1:11">
      <c r="A1830" s="24"/>
      <c r="B1830" s="81" t="str">
        <f t="shared" si="49"/>
        <v>1364</v>
      </c>
      <c r="C1830" s="69" t="s">
        <v>1934</v>
      </c>
      <c r="D1830" s="76" t="s">
        <v>89</v>
      </c>
      <c r="E1830" s="76">
        <v>0.1</v>
      </c>
      <c r="F1830" s="76" t="s">
        <v>44</v>
      </c>
      <c r="G1830" s="76"/>
      <c r="H1830" s="76"/>
      <c r="I1830" s="76" t="s">
        <v>38</v>
      </c>
      <c r="J1830" s="83" t="s">
        <v>1935</v>
      </c>
      <c r="K1830" s="24"/>
    </row>
    <row r="1831" outlineLevel="1" spans="1:11">
      <c r="A1831" s="24"/>
      <c r="B1831" s="81" t="str">
        <f t="shared" si="49"/>
        <v>1365</v>
      </c>
      <c r="C1831" s="69" t="s">
        <v>1936</v>
      </c>
      <c r="D1831" s="76" t="s">
        <v>89</v>
      </c>
      <c r="E1831" s="76">
        <v>0.01</v>
      </c>
      <c r="F1831" s="76" t="s">
        <v>303</v>
      </c>
      <c r="G1831" s="76"/>
      <c r="H1831" s="76"/>
      <c r="I1831" s="76" t="s">
        <v>38</v>
      </c>
      <c r="J1831" s="83" t="s">
        <v>1937</v>
      </c>
      <c r="K1831" s="24"/>
    </row>
    <row r="1832" outlineLevel="1" spans="1:11">
      <c r="A1832" s="24"/>
      <c r="B1832" s="81" t="str">
        <f t="shared" si="49"/>
        <v>1366</v>
      </c>
      <c r="C1832" s="69" t="s">
        <v>1938</v>
      </c>
      <c r="D1832" s="76" t="s">
        <v>89</v>
      </c>
      <c r="E1832" s="76">
        <v>0.1</v>
      </c>
      <c r="F1832" s="76" t="s">
        <v>44</v>
      </c>
      <c r="G1832" s="76"/>
      <c r="H1832" s="76"/>
      <c r="I1832" s="76" t="s">
        <v>38</v>
      </c>
      <c r="J1832" s="83" t="s">
        <v>1939</v>
      </c>
      <c r="K1832" s="24"/>
    </row>
    <row r="1833" outlineLevel="1" spans="1:11">
      <c r="A1833" s="24"/>
      <c r="B1833" s="81" t="str">
        <f t="shared" si="49"/>
        <v>1367</v>
      </c>
      <c r="C1833" s="69" t="s">
        <v>1940</v>
      </c>
      <c r="D1833" s="76" t="s">
        <v>89</v>
      </c>
      <c r="E1833" s="76">
        <v>0.01</v>
      </c>
      <c r="F1833" s="76" t="s">
        <v>303</v>
      </c>
      <c r="G1833" s="76"/>
      <c r="H1833" s="76"/>
      <c r="I1833" s="76" t="s">
        <v>38</v>
      </c>
      <c r="J1833" s="83" t="s">
        <v>1941</v>
      </c>
      <c r="K1833" s="24"/>
    </row>
    <row r="1834" outlineLevel="1" spans="1:11">
      <c r="A1834" s="24"/>
      <c r="B1834" s="81" t="str">
        <f t="shared" si="49"/>
        <v>1368</v>
      </c>
      <c r="C1834" s="69" t="s">
        <v>1942</v>
      </c>
      <c r="D1834" s="76" t="s">
        <v>89</v>
      </c>
      <c r="E1834" s="76">
        <v>0.1</v>
      </c>
      <c r="F1834" s="76" t="s">
        <v>44</v>
      </c>
      <c r="G1834" s="76"/>
      <c r="H1834" s="76"/>
      <c r="I1834" s="76" t="s">
        <v>38</v>
      </c>
      <c r="J1834" s="83" t="s">
        <v>1943</v>
      </c>
      <c r="K1834" s="24"/>
    </row>
    <row r="1835" outlineLevel="1" spans="1:11">
      <c r="A1835" s="24"/>
      <c r="B1835" s="81" t="str">
        <f t="shared" si="49"/>
        <v>1369</v>
      </c>
      <c r="C1835" s="69" t="s">
        <v>1944</v>
      </c>
      <c r="D1835" s="76" t="s">
        <v>89</v>
      </c>
      <c r="E1835" s="76">
        <v>0.01</v>
      </c>
      <c r="F1835" s="76" t="s">
        <v>303</v>
      </c>
      <c r="G1835" s="76"/>
      <c r="H1835" s="76"/>
      <c r="I1835" s="76" t="s">
        <v>38</v>
      </c>
      <c r="J1835" s="83" t="s">
        <v>1945</v>
      </c>
      <c r="K1835" s="24"/>
    </row>
    <row r="1836" outlineLevel="1" spans="1:11">
      <c r="A1836" s="24"/>
      <c r="B1836" s="81" t="str">
        <f t="shared" si="49"/>
        <v>136A</v>
      </c>
      <c r="C1836" s="69" t="s">
        <v>1946</v>
      </c>
      <c r="D1836" s="76" t="s">
        <v>89</v>
      </c>
      <c r="E1836" s="76">
        <v>0.1</v>
      </c>
      <c r="F1836" s="76" t="s">
        <v>44</v>
      </c>
      <c r="G1836" s="76"/>
      <c r="H1836" s="76"/>
      <c r="I1836" s="76" t="s">
        <v>38</v>
      </c>
      <c r="J1836" s="83" t="s">
        <v>1947</v>
      </c>
      <c r="K1836" s="24"/>
    </row>
    <row r="1837" outlineLevel="1" spans="1:11">
      <c r="A1837" s="24"/>
      <c r="B1837" s="81" t="str">
        <f t="shared" si="49"/>
        <v>136B</v>
      </c>
      <c r="C1837" s="69" t="s">
        <v>1948</v>
      </c>
      <c r="D1837" s="76" t="s">
        <v>89</v>
      </c>
      <c r="E1837" s="76">
        <v>0.01</v>
      </c>
      <c r="F1837" s="76" t="s">
        <v>303</v>
      </c>
      <c r="G1837" s="76"/>
      <c r="H1837" s="76"/>
      <c r="I1837" s="76" t="s">
        <v>38</v>
      </c>
      <c r="J1837" s="83" t="s">
        <v>1949</v>
      </c>
      <c r="K1837" s="24"/>
    </row>
    <row r="1838" outlineLevel="1" spans="1:11">
      <c r="A1838" s="24"/>
      <c r="B1838" s="81" t="str">
        <f t="shared" si="49"/>
        <v>136C</v>
      </c>
      <c r="C1838" s="69" t="s">
        <v>1950</v>
      </c>
      <c r="D1838" s="76" t="s">
        <v>89</v>
      </c>
      <c r="E1838" s="76">
        <v>0.1</v>
      </c>
      <c r="F1838" s="76" t="s">
        <v>44</v>
      </c>
      <c r="G1838" s="76"/>
      <c r="H1838" s="76"/>
      <c r="I1838" s="76" t="s">
        <v>38</v>
      </c>
      <c r="J1838" s="83" t="s">
        <v>1951</v>
      </c>
      <c r="K1838" s="24"/>
    </row>
    <row r="1839" outlineLevel="1" spans="1:11">
      <c r="A1839" s="24"/>
      <c r="B1839" s="81" t="str">
        <f t="shared" si="49"/>
        <v>136D</v>
      </c>
      <c r="C1839" s="69" t="s">
        <v>1952</v>
      </c>
      <c r="D1839" s="76" t="s">
        <v>89</v>
      </c>
      <c r="E1839" s="76">
        <v>0.01</v>
      </c>
      <c r="F1839" s="76" t="s">
        <v>303</v>
      </c>
      <c r="G1839" s="76"/>
      <c r="H1839" s="76"/>
      <c r="I1839" s="76" t="s">
        <v>38</v>
      </c>
      <c r="J1839" s="83" t="s">
        <v>1953</v>
      </c>
      <c r="K1839" s="24"/>
    </row>
    <row r="1840" outlineLevel="1" spans="1:11">
      <c r="A1840" s="24"/>
      <c r="B1840" s="81" t="str">
        <f t="shared" si="49"/>
        <v>136E</v>
      </c>
      <c r="C1840" s="69" t="s">
        <v>1954</v>
      </c>
      <c r="D1840" s="76" t="s">
        <v>89</v>
      </c>
      <c r="E1840" s="76">
        <v>0.1</v>
      </c>
      <c r="F1840" s="76" t="s">
        <v>44</v>
      </c>
      <c r="G1840" s="76"/>
      <c r="H1840" s="76"/>
      <c r="I1840" s="76" t="s">
        <v>38</v>
      </c>
      <c r="J1840" s="83" t="s">
        <v>1955</v>
      </c>
      <c r="K1840" s="24"/>
    </row>
    <row r="1841" outlineLevel="1" spans="1:11">
      <c r="A1841" s="24"/>
      <c r="B1841" s="81" t="str">
        <f t="shared" si="49"/>
        <v>136F</v>
      </c>
      <c r="C1841" s="69" t="s">
        <v>1956</v>
      </c>
      <c r="D1841" s="76" t="s">
        <v>89</v>
      </c>
      <c r="E1841" s="76">
        <v>0.01</v>
      </c>
      <c r="F1841" s="76" t="s">
        <v>303</v>
      </c>
      <c r="G1841" s="76"/>
      <c r="H1841" s="76"/>
      <c r="I1841" s="76" t="s">
        <v>38</v>
      </c>
      <c r="J1841" s="83" t="s">
        <v>1957</v>
      </c>
      <c r="K1841" s="24"/>
    </row>
    <row r="1842" outlineLevel="1" spans="1:11">
      <c r="A1842" s="24"/>
      <c r="B1842" s="81" t="str">
        <f t="shared" si="49"/>
        <v>1370</v>
      </c>
      <c r="C1842" s="69" t="s">
        <v>1958</v>
      </c>
      <c r="D1842" s="76" t="s">
        <v>89</v>
      </c>
      <c r="E1842" s="76">
        <v>0.1</v>
      </c>
      <c r="F1842" s="76" t="s">
        <v>44</v>
      </c>
      <c r="G1842" s="76"/>
      <c r="H1842" s="76"/>
      <c r="I1842" s="76" t="s">
        <v>38</v>
      </c>
      <c r="J1842" s="83" t="s">
        <v>1959</v>
      </c>
      <c r="K1842" s="24"/>
    </row>
    <row r="1843" outlineLevel="1" spans="1:11">
      <c r="A1843" s="24"/>
      <c r="B1843" s="81" t="str">
        <f t="shared" si="49"/>
        <v>1371</v>
      </c>
      <c r="C1843" s="69" t="s">
        <v>1960</v>
      </c>
      <c r="D1843" s="76" t="s">
        <v>89</v>
      </c>
      <c r="E1843" s="76">
        <v>0.01</v>
      </c>
      <c r="F1843" s="76" t="s">
        <v>303</v>
      </c>
      <c r="G1843" s="76"/>
      <c r="H1843" s="76"/>
      <c r="I1843" s="76" t="s">
        <v>38</v>
      </c>
      <c r="J1843" s="83" t="s">
        <v>1961</v>
      </c>
      <c r="K1843" s="24"/>
    </row>
    <row r="1844" outlineLevel="1" spans="1:11">
      <c r="A1844" s="24"/>
      <c r="B1844" s="81" t="str">
        <f t="shared" si="49"/>
        <v>1372</v>
      </c>
      <c r="C1844" s="69" t="s">
        <v>1962</v>
      </c>
      <c r="D1844" s="76" t="s">
        <v>89</v>
      </c>
      <c r="E1844" s="76">
        <v>0.1</v>
      </c>
      <c r="F1844" s="76" t="s">
        <v>44</v>
      </c>
      <c r="G1844" s="76"/>
      <c r="H1844" s="76"/>
      <c r="I1844" s="76" t="s">
        <v>38</v>
      </c>
      <c r="J1844" s="83" t="s">
        <v>1963</v>
      </c>
      <c r="K1844" s="24"/>
    </row>
    <row r="1845" outlineLevel="1" spans="1:11">
      <c r="A1845" s="24"/>
      <c r="B1845" s="81" t="str">
        <f t="shared" si="49"/>
        <v>1373</v>
      </c>
      <c r="C1845" s="69" t="s">
        <v>1964</v>
      </c>
      <c r="D1845" s="76" t="s">
        <v>89</v>
      </c>
      <c r="E1845" s="76">
        <v>0.01</v>
      </c>
      <c r="F1845" s="76" t="s">
        <v>303</v>
      </c>
      <c r="G1845" s="76"/>
      <c r="H1845" s="76"/>
      <c r="I1845" s="76" t="s">
        <v>38</v>
      </c>
      <c r="J1845" s="83" t="s">
        <v>1965</v>
      </c>
      <c r="K1845" s="24"/>
    </row>
    <row r="1846" outlineLevel="1" spans="1:11">
      <c r="A1846" s="24"/>
      <c r="B1846" s="81" t="str">
        <f t="shared" si="49"/>
        <v>1374</v>
      </c>
      <c r="C1846" s="69" t="s">
        <v>1966</v>
      </c>
      <c r="D1846" s="76" t="s">
        <v>89</v>
      </c>
      <c r="E1846" s="76">
        <v>0.1</v>
      </c>
      <c r="F1846" s="76" t="s">
        <v>44</v>
      </c>
      <c r="G1846" s="76"/>
      <c r="H1846" s="76"/>
      <c r="I1846" s="76" t="s">
        <v>38</v>
      </c>
      <c r="J1846" s="83" t="s">
        <v>1967</v>
      </c>
      <c r="K1846" s="24"/>
    </row>
    <row r="1847" outlineLevel="1" spans="1:11">
      <c r="A1847" s="24"/>
      <c r="B1847" s="81" t="str">
        <f t="shared" si="49"/>
        <v>1375</v>
      </c>
      <c r="C1847" s="69" t="s">
        <v>1968</v>
      </c>
      <c r="D1847" s="76" t="s">
        <v>89</v>
      </c>
      <c r="E1847" s="76">
        <v>0.01</v>
      </c>
      <c r="F1847" s="76" t="s">
        <v>303</v>
      </c>
      <c r="G1847" s="76"/>
      <c r="H1847" s="76"/>
      <c r="I1847" s="76" t="s">
        <v>38</v>
      </c>
      <c r="J1847" s="83" t="s">
        <v>1969</v>
      </c>
      <c r="K1847" s="24"/>
    </row>
    <row r="1848" outlineLevel="1" spans="1:11">
      <c r="A1848" s="24"/>
      <c r="B1848" s="81" t="str">
        <f t="shared" si="49"/>
        <v>1376</v>
      </c>
      <c r="C1848" s="69" t="s">
        <v>1970</v>
      </c>
      <c r="D1848" s="76" t="s">
        <v>89</v>
      </c>
      <c r="E1848" s="76">
        <v>0.1</v>
      </c>
      <c r="F1848" s="76" t="s">
        <v>44</v>
      </c>
      <c r="G1848" s="76"/>
      <c r="H1848" s="76"/>
      <c r="I1848" s="76" t="s">
        <v>38</v>
      </c>
      <c r="J1848" s="83" t="s">
        <v>1971</v>
      </c>
      <c r="K1848" s="24"/>
    </row>
    <row r="1849" outlineLevel="1" spans="1:11">
      <c r="A1849" s="24"/>
      <c r="B1849" s="81" t="str">
        <f t="shared" si="49"/>
        <v>1377</v>
      </c>
      <c r="C1849" s="69" t="s">
        <v>1972</v>
      </c>
      <c r="D1849" s="76" t="s">
        <v>89</v>
      </c>
      <c r="E1849" s="76">
        <v>0.01</v>
      </c>
      <c r="F1849" s="76" t="s">
        <v>303</v>
      </c>
      <c r="G1849" s="76"/>
      <c r="H1849" s="76"/>
      <c r="I1849" s="76" t="s">
        <v>38</v>
      </c>
      <c r="J1849" s="83" t="s">
        <v>1973</v>
      </c>
      <c r="K1849" s="24"/>
    </row>
    <row r="1850" outlineLevel="1" spans="1:11">
      <c r="A1850" s="24"/>
      <c r="B1850" s="81" t="str">
        <f t="shared" si="49"/>
        <v>1378</v>
      </c>
      <c r="C1850" s="69" t="s">
        <v>1974</v>
      </c>
      <c r="D1850" s="76" t="s">
        <v>89</v>
      </c>
      <c r="E1850" s="76">
        <v>0.1</v>
      </c>
      <c r="F1850" s="76" t="s">
        <v>44</v>
      </c>
      <c r="G1850" s="76"/>
      <c r="H1850" s="76"/>
      <c r="I1850" s="76" t="s">
        <v>38</v>
      </c>
      <c r="J1850" s="83" t="s">
        <v>1975</v>
      </c>
      <c r="K1850" s="24"/>
    </row>
    <row r="1851" outlineLevel="1" spans="1:11">
      <c r="A1851" s="24"/>
      <c r="B1851" s="81" t="str">
        <f t="shared" si="49"/>
        <v>1379</v>
      </c>
      <c r="C1851" s="69" t="s">
        <v>1976</v>
      </c>
      <c r="D1851" s="76" t="s">
        <v>89</v>
      </c>
      <c r="E1851" s="76">
        <v>0.01</v>
      </c>
      <c r="F1851" s="76" t="s">
        <v>303</v>
      </c>
      <c r="G1851" s="76"/>
      <c r="H1851" s="76"/>
      <c r="I1851" s="76" t="s">
        <v>38</v>
      </c>
      <c r="J1851" s="83" t="s">
        <v>1977</v>
      </c>
      <c r="K1851" s="24"/>
    </row>
    <row r="1852" outlineLevel="1" spans="1:11">
      <c r="A1852" s="24"/>
      <c r="B1852" s="81" t="str">
        <f t="shared" si="49"/>
        <v>137A</v>
      </c>
      <c r="C1852" s="69" t="s">
        <v>1978</v>
      </c>
      <c r="D1852" s="76" t="s">
        <v>89</v>
      </c>
      <c r="E1852" s="76">
        <v>0.1</v>
      </c>
      <c r="F1852" s="76" t="s">
        <v>44</v>
      </c>
      <c r="G1852" s="76"/>
      <c r="H1852" s="76"/>
      <c r="I1852" s="76" t="s">
        <v>38</v>
      </c>
      <c r="J1852" s="83" t="s">
        <v>1979</v>
      </c>
      <c r="K1852" s="24"/>
    </row>
    <row r="1853" outlineLevel="1" spans="1:11">
      <c r="A1853" s="24"/>
      <c r="B1853" s="81" t="str">
        <f t="shared" si="49"/>
        <v>137B</v>
      </c>
      <c r="C1853" s="69" t="s">
        <v>1980</v>
      </c>
      <c r="D1853" s="76" t="s">
        <v>89</v>
      </c>
      <c r="E1853" s="76">
        <v>0.01</v>
      </c>
      <c r="F1853" s="76" t="s">
        <v>303</v>
      </c>
      <c r="G1853" s="76"/>
      <c r="H1853" s="76"/>
      <c r="I1853" s="76" t="s">
        <v>38</v>
      </c>
      <c r="J1853" s="83" t="s">
        <v>1981</v>
      </c>
      <c r="K1853" s="24"/>
    </row>
    <row r="1854" outlineLevel="1" spans="1:11">
      <c r="A1854" s="24"/>
      <c r="B1854" s="81" t="str">
        <f t="shared" si="49"/>
        <v>137C</v>
      </c>
      <c r="C1854" s="69" t="s">
        <v>1982</v>
      </c>
      <c r="D1854" s="76" t="s">
        <v>89</v>
      </c>
      <c r="E1854" s="76">
        <v>0.1</v>
      </c>
      <c r="F1854" s="76" t="s">
        <v>44</v>
      </c>
      <c r="G1854" s="76"/>
      <c r="H1854" s="76"/>
      <c r="I1854" s="76" t="s">
        <v>38</v>
      </c>
      <c r="J1854" s="83" t="s">
        <v>1983</v>
      </c>
      <c r="K1854" s="24"/>
    </row>
    <row r="1855" outlineLevel="1" spans="1:11">
      <c r="A1855" s="24"/>
      <c r="B1855" s="81" t="str">
        <f t="shared" si="49"/>
        <v>137D</v>
      </c>
      <c r="C1855" s="69" t="s">
        <v>1984</v>
      </c>
      <c r="D1855" s="76" t="s">
        <v>89</v>
      </c>
      <c r="E1855" s="76">
        <v>0.01</v>
      </c>
      <c r="F1855" s="76" t="s">
        <v>303</v>
      </c>
      <c r="G1855" s="76"/>
      <c r="H1855" s="76"/>
      <c r="I1855" s="76" t="s">
        <v>38</v>
      </c>
      <c r="J1855" s="83" t="s">
        <v>1985</v>
      </c>
      <c r="K1855" s="24"/>
    </row>
    <row r="1856" outlineLevel="1" spans="1:11">
      <c r="A1856" s="24"/>
      <c r="B1856" s="81" t="str">
        <f t="shared" si="49"/>
        <v>137E</v>
      </c>
      <c r="C1856" s="69" t="s">
        <v>1986</v>
      </c>
      <c r="D1856" s="76" t="s">
        <v>89</v>
      </c>
      <c r="E1856" s="76">
        <v>0.1</v>
      </c>
      <c r="F1856" s="76" t="s">
        <v>44</v>
      </c>
      <c r="G1856" s="76"/>
      <c r="H1856" s="76"/>
      <c r="I1856" s="76" t="s">
        <v>38</v>
      </c>
      <c r="J1856" s="83" t="s">
        <v>1987</v>
      </c>
      <c r="K1856" s="24"/>
    </row>
    <row r="1857" outlineLevel="1" spans="1:11">
      <c r="A1857" s="24"/>
      <c r="B1857" s="81" t="str">
        <f t="shared" si="49"/>
        <v>137F</v>
      </c>
      <c r="C1857" s="69" t="s">
        <v>1988</v>
      </c>
      <c r="D1857" s="76" t="s">
        <v>89</v>
      </c>
      <c r="E1857" s="76">
        <v>0.01</v>
      </c>
      <c r="F1857" s="76" t="s">
        <v>303</v>
      </c>
      <c r="G1857" s="76"/>
      <c r="H1857" s="76"/>
      <c r="I1857" s="76" t="s">
        <v>38</v>
      </c>
      <c r="J1857" s="83" t="s">
        <v>1989</v>
      </c>
      <c r="K1857" s="24"/>
    </row>
    <row r="1858" outlineLevel="1" spans="1:11">
      <c r="A1858" s="24"/>
      <c r="B1858" s="81" t="str">
        <f t="shared" si="49"/>
        <v>1380</v>
      </c>
      <c r="C1858" s="63" t="s">
        <v>1990</v>
      </c>
      <c r="D1858" s="59" t="s">
        <v>59</v>
      </c>
      <c r="E1858" s="59"/>
      <c r="F1858" s="59"/>
      <c r="G1858" s="59"/>
      <c r="H1858" s="59"/>
      <c r="I1858" s="59" t="s">
        <v>38</v>
      </c>
      <c r="J1858" s="63" t="s">
        <v>573</v>
      </c>
      <c r="K1858" s="24"/>
    </row>
    <row r="1859" outlineLevel="1" spans="1:11">
      <c r="A1859" s="24"/>
      <c r="B1859" s="81" t="str">
        <f t="shared" si="49"/>
        <v>1381</v>
      </c>
      <c r="C1859" s="63"/>
      <c r="D1859" s="59"/>
      <c r="E1859" s="59"/>
      <c r="F1859" s="59"/>
      <c r="G1859" s="59"/>
      <c r="H1859" s="59"/>
      <c r="I1859" s="59"/>
      <c r="J1859" s="63"/>
      <c r="K1859" s="24"/>
    </row>
    <row r="1860" outlineLevel="1" spans="1:11">
      <c r="A1860" s="24"/>
      <c r="B1860" s="81" t="str">
        <f t="shared" si="49"/>
        <v>1382</v>
      </c>
      <c r="C1860" s="63"/>
      <c r="D1860" s="59"/>
      <c r="E1860" s="59"/>
      <c r="F1860" s="59"/>
      <c r="G1860" s="59"/>
      <c r="H1860" s="59"/>
      <c r="I1860" s="59"/>
      <c r="J1860" s="63"/>
      <c r="K1860" s="24"/>
    </row>
    <row r="1861" ht="78" customHeight="1" outlineLevel="1" spans="1:11">
      <c r="A1861" s="24"/>
      <c r="B1861" s="81" t="str">
        <f t="shared" si="49"/>
        <v>1383</v>
      </c>
      <c r="C1861" s="63"/>
      <c r="D1861" s="59"/>
      <c r="E1861" s="59"/>
      <c r="F1861" s="59"/>
      <c r="G1861" s="59"/>
      <c r="H1861" s="59"/>
      <c r="I1861" s="59"/>
      <c r="J1861" s="63"/>
      <c r="K1861" s="24"/>
    </row>
    <row r="1862" outlineLevel="1" spans="1:11">
      <c r="A1862" s="24"/>
      <c r="B1862" s="81" t="str">
        <f t="shared" si="49"/>
        <v>1384</v>
      </c>
      <c r="C1862" s="69" t="s">
        <v>1991</v>
      </c>
      <c r="D1862" s="76" t="s">
        <v>89</v>
      </c>
      <c r="E1862" s="76">
        <v>0.1</v>
      </c>
      <c r="F1862" s="76" t="s">
        <v>44</v>
      </c>
      <c r="G1862" s="76"/>
      <c r="H1862" s="76"/>
      <c r="I1862" s="76" t="s">
        <v>38</v>
      </c>
      <c r="J1862" s="83" t="s">
        <v>1992</v>
      </c>
      <c r="K1862" s="24"/>
    </row>
    <row r="1863" outlineLevel="1" spans="1:11">
      <c r="A1863" s="24"/>
      <c r="B1863" s="81" t="str">
        <f t="shared" ref="B1863:B1930" si="50">DEC2HEX(4928+ROW()-ROW($B$1794),4)</f>
        <v>1385</v>
      </c>
      <c r="C1863" s="69" t="s">
        <v>1993</v>
      </c>
      <c r="D1863" s="76" t="s">
        <v>89</v>
      </c>
      <c r="E1863" s="76">
        <v>0.01</v>
      </c>
      <c r="F1863" s="76" t="s">
        <v>303</v>
      </c>
      <c r="G1863" s="76"/>
      <c r="H1863" s="76"/>
      <c r="I1863" s="76" t="s">
        <v>38</v>
      </c>
      <c r="J1863" s="83" t="s">
        <v>1994</v>
      </c>
      <c r="K1863" s="24"/>
    </row>
    <row r="1864" outlineLevel="1" spans="1:11">
      <c r="A1864" s="24"/>
      <c r="B1864" s="81" t="str">
        <f t="shared" si="50"/>
        <v>1386</v>
      </c>
      <c r="C1864" s="69" t="s">
        <v>1995</v>
      </c>
      <c r="D1864" s="76" t="s">
        <v>89</v>
      </c>
      <c r="E1864" s="76">
        <v>0.1</v>
      </c>
      <c r="F1864" s="76" t="s">
        <v>44</v>
      </c>
      <c r="G1864" s="76"/>
      <c r="H1864" s="76"/>
      <c r="I1864" s="76" t="s">
        <v>38</v>
      </c>
      <c r="J1864" s="83" t="s">
        <v>1996</v>
      </c>
      <c r="K1864" s="24"/>
    </row>
    <row r="1865" outlineLevel="1" spans="1:11">
      <c r="A1865" s="24"/>
      <c r="B1865" s="81" t="str">
        <f t="shared" si="50"/>
        <v>1387</v>
      </c>
      <c r="C1865" s="69" t="s">
        <v>1997</v>
      </c>
      <c r="D1865" s="76" t="s">
        <v>89</v>
      </c>
      <c r="E1865" s="76">
        <v>0.01</v>
      </c>
      <c r="F1865" s="76" t="s">
        <v>303</v>
      </c>
      <c r="G1865" s="76"/>
      <c r="H1865" s="76"/>
      <c r="I1865" s="76" t="s">
        <v>38</v>
      </c>
      <c r="J1865" s="83" t="s">
        <v>1998</v>
      </c>
      <c r="K1865" s="24"/>
    </row>
    <row r="1866" outlineLevel="1" spans="1:11">
      <c r="A1866" s="24"/>
      <c r="B1866" s="81" t="str">
        <f t="shared" si="50"/>
        <v>1388</v>
      </c>
      <c r="C1866" s="69" t="s">
        <v>1999</v>
      </c>
      <c r="D1866" s="76" t="s">
        <v>89</v>
      </c>
      <c r="E1866" s="76">
        <v>0.1</v>
      </c>
      <c r="F1866" s="76" t="s">
        <v>44</v>
      </c>
      <c r="G1866" s="76"/>
      <c r="H1866" s="76"/>
      <c r="I1866" s="76" t="s">
        <v>38</v>
      </c>
      <c r="J1866" s="83" t="s">
        <v>2000</v>
      </c>
      <c r="K1866" s="24"/>
    </row>
    <row r="1867" outlineLevel="1" spans="1:11">
      <c r="A1867" s="24"/>
      <c r="B1867" s="81" t="str">
        <f t="shared" si="50"/>
        <v>1389</v>
      </c>
      <c r="C1867" s="69" t="s">
        <v>2001</v>
      </c>
      <c r="D1867" s="76" t="s">
        <v>89</v>
      </c>
      <c r="E1867" s="76">
        <v>0.01</v>
      </c>
      <c r="F1867" s="76" t="s">
        <v>303</v>
      </c>
      <c r="G1867" s="76"/>
      <c r="H1867" s="76"/>
      <c r="I1867" s="76" t="s">
        <v>38</v>
      </c>
      <c r="J1867" s="83" t="s">
        <v>2002</v>
      </c>
      <c r="K1867" s="24"/>
    </row>
    <row r="1868" outlineLevel="1" spans="1:11">
      <c r="A1868" s="24"/>
      <c r="B1868" s="81" t="str">
        <f t="shared" si="50"/>
        <v>138A</v>
      </c>
      <c r="C1868" s="69" t="s">
        <v>2003</v>
      </c>
      <c r="D1868" s="76" t="s">
        <v>89</v>
      </c>
      <c r="E1868" s="76">
        <v>0.1</v>
      </c>
      <c r="F1868" s="76" t="s">
        <v>44</v>
      </c>
      <c r="G1868" s="76"/>
      <c r="H1868" s="76"/>
      <c r="I1868" s="76" t="s">
        <v>38</v>
      </c>
      <c r="J1868" s="83" t="s">
        <v>2004</v>
      </c>
      <c r="K1868" s="24"/>
    </row>
    <row r="1869" outlineLevel="1" spans="1:11">
      <c r="A1869" s="24"/>
      <c r="B1869" s="81" t="str">
        <f t="shared" si="50"/>
        <v>138B</v>
      </c>
      <c r="C1869" s="69" t="s">
        <v>2005</v>
      </c>
      <c r="D1869" s="76" t="s">
        <v>89</v>
      </c>
      <c r="E1869" s="76">
        <v>0.01</v>
      </c>
      <c r="F1869" s="76" t="s">
        <v>303</v>
      </c>
      <c r="G1869" s="76"/>
      <c r="H1869" s="76"/>
      <c r="I1869" s="76" t="s">
        <v>38</v>
      </c>
      <c r="J1869" s="83" t="s">
        <v>2006</v>
      </c>
      <c r="K1869" s="24"/>
    </row>
    <row r="1870" outlineLevel="1" spans="1:11">
      <c r="A1870" s="24"/>
      <c r="B1870" s="81" t="str">
        <f t="shared" si="50"/>
        <v>138C</v>
      </c>
      <c r="C1870" s="69" t="s">
        <v>2007</v>
      </c>
      <c r="D1870" s="76" t="s">
        <v>89</v>
      </c>
      <c r="E1870" s="76">
        <v>0.1</v>
      </c>
      <c r="F1870" s="76" t="s">
        <v>44</v>
      </c>
      <c r="G1870" s="76"/>
      <c r="H1870" s="76"/>
      <c r="I1870" s="76" t="s">
        <v>38</v>
      </c>
      <c r="J1870" s="83" t="s">
        <v>2008</v>
      </c>
      <c r="K1870" s="24"/>
    </row>
    <row r="1871" outlineLevel="1" spans="1:11">
      <c r="A1871" s="24"/>
      <c r="B1871" s="81" t="str">
        <f t="shared" si="50"/>
        <v>138D</v>
      </c>
      <c r="C1871" s="69" t="s">
        <v>2009</v>
      </c>
      <c r="D1871" s="76" t="s">
        <v>89</v>
      </c>
      <c r="E1871" s="76">
        <v>0.01</v>
      </c>
      <c r="F1871" s="76" t="s">
        <v>303</v>
      </c>
      <c r="G1871" s="76"/>
      <c r="H1871" s="76"/>
      <c r="I1871" s="76" t="s">
        <v>38</v>
      </c>
      <c r="J1871" s="83" t="s">
        <v>2010</v>
      </c>
      <c r="K1871" s="24"/>
    </row>
    <row r="1872" outlineLevel="1" spans="1:11">
      <c r="A1872" s="24"/>
      <c r="B1872" s="81" t="str">
        <f t="shared" si="50"/>
        <v>138E</v>
      </c>
      <c r="C1872" s="69" t="s">
        <v>2011</v>
      </c>
      <c r="D1872" s="76" t="s">
        <v>89</v>
      </c>
      <c r="E1872" s="76">
        <v>0.1</v>
      </c>
      <c r="F1872" s="76" t="s">
        <v>44</v>
      </c>
      <c r="G1872" s="76"/>
      <c r="H1872" s="76"/>
      <c r="I1872" s="76" t="s">
        <v>38</v>
      </c>
      <c r="J1872" s="83" t="s">
        <v>2012</v>
      </c>
      <c r="K1872" s="24"/>
    </row>
    <row r="1873" outlineLevel="1" spans="1:11">
      <c r="A1873" s="24"/>
      <c r="B1873" s="81" t="str">
        <f t="shared" si="50"/>
        <v>138F</v>
      </c>
      <c r="C1873" s="69" t="s">
        <v>2013</v>
      </c>
      <c r="D1873" s="76" t="s">
        <v>89</v>
      </c>
      <c r="E1873" s="76">
        <v>0.01</v>
      </c>
      <c r="F1873" s="76" t="s">
        <v>303</v>
      </c>
      <c r="G1873" s="76"/>
      <c r="H1873" s="76"/>
      <c r="I1873" s="76" t="s">
        <v>38</v>
      </c>
      <c r="J1873" s="83" t="s">
        <v>2014</v>
      </c>
      <c r="K1873" s="24"/>
    </row>
    <row r="1874" outlineLevel="1" spans="1:11">
      <c r="A1874" s="24"/>
      <c r="B1874" s="81" t="str">
        <f t="shared" si="50"/>
        <v>1390</v>
      </c>
      <c r="C1874" s="69" t="s">
        <v>2015</v>
      </c>
      <c r="D1874" s="76" t="s">
        <v>89</v>
      </c>
      <c r="E1874" s="76">
        <v>0.1</v>
      </c>
      <c r="F1874" s="76" t="s">
        <v>44</v>
      </c>
      <c r="G1874" s="76"/>
      <c r="H1874" s="76"/>
      <c r="I1874" s="76" t="s">
        <v>38</v>
      </c>
      <c r="J1874" s="83" t="s">
        <v>2016</v>
      </c>
      <c r="K1874" s="24"/>
    </row>
    <row r="1875" outlineLevel="1" spans="1:11">
      <c r="A1875" s="24"/>
      <c r="B1875" s="81" t="str">
        <f t="shared" si="50"/>
        <v>1391</v>
      </c>
      <c r="C1875" s="69" t="s">
        <v>2017</v>
      </c>
      <c r="D1875" s="76" t="s">
        <v>89</v>
      </c>
      <c r="E1875" s="76">
        <v>0.01</v>
      </c>
      <c r="F1875" s="76" t="s">
        <v>303</v>
      </c>
      <c r="G1875" s="76"/>
      <c r="H1875" s="76"/>
      <c r="I1875" s="76" t="s">
        <v>38</v>
      </c>
      <c r="J1875" s="83" t="s">
        <v>2018</v>
      </c>
      <c r="K1875" s="24"/>
    </row>
    <row r="1876" outlineLevel="1" spans="1:11">
      <c r="A1876" s="24"/>
      <c r="B1876" s="81" t="str">
        <f t="shared" si="50"/>
        <v>1392</v>
      </c>
      <c r="C1876" s="69" t="s">
        <v>2019</v>
      </c>
      <c r="D1876" s="76" t="s">
        <v>89</v>
      </c>
      <c r="E1876" s="76">
        <v>0.1</v>
      </c>
      <c r="F1876" s="76" t="s">
        <v>44</v>
      </c>
      <c r="G1876" s="76"/>
      <c r="H1876" s="76"/>
      <c r="I1876" s="76" t="s">
        <v>38</v>
      </c>
      <c r="J1876" s="83" t="s">
        <v>2020</v>
      </c>
      <c r="K1876" s="24"/>
    </row>
    <row r="1877" outlineLevel="1" spans="1:11">
      <c r="A1877" s="24"/>
      <c r="B1877" s="81" t="str">
        <f t="shared" si="50"/>
        <v>1393</v>
      </c>
      <c r="C1877" s="69" t="s">
        <v>2021</v>
      </c>
      <c r="D1877" s="76" t="s">
        <v>89</v>
      </c>
      <c r="E1877" s="76">
        <v>0.01</v>
      </c>
      <c r="F1877" s="76" t="s">
        <v>303</v>
      </c>
      <c r="G1877" s="76"/>
      <c r="H1877" s="76"/>
      <c r="I1877" s="76" t="s">
        <v>38</v>
      </c>
      <c r="J1877" s="83" t="s">
        <v>2022</v>
      </c>
      <c r="K1877" s="24"/>
    </row>
    <row r="1878" outlineLevel="1" spans="1:11">
      <c r="A1878" s="24"/>
      <c r="B1878" s="81" t="str">
        <f t="shared" si="50"/>
        <v>1394</v>
      </c>
      <c r="C1878" s="69" t="s">
        <v>2023</v>
      </c>
      <c r="D1878" s="76" t="s">
        <v>89</v>
      </c>
      <c r="E1878" s="76">
        <v>0.1</v>
      </c>
      <c r="F1878" s="76" t="s">
        <v>44</v>
      </c>
      <c r="G1878" s="76"/>
      <c r="H1878" s="76"/>
      <c r="I1878" s="76" t="s">
        <v>38</v>
      </c>
      <c r="J1878" s="83" t="s">
        <v>2024</v>
      </c>
      <c r="K1878" s="24"/>
    </row>
    <row r="1879" outlineLevel="1" spans="1:11">
      <c r="A1879" s="24"/>
      <c r="B1879" s="81" t="str">
        <f t="shared" si="50"/>
        <v>1395</v>
      </c>
      <c r="C1879" s="69" t="s">
        <v>2025</v>
      </c>
      <c r="D1879" s="76" t="s">
        <v>89</v>
      </c>
      <c r="E1879" s="76">
        <v>0.01</v>
      </c>
      <c r="F1879" s="76" t="s">
        <v>303</v>
      </c>
      <c r="G1879" s="76"/>
      <c r="H1879" s="76"/>
      <c r="I1879" s="76" t="s">
        <v>38</v>
      </c>
      <c r="J1879" s="83" t="s">
        <v>2026</v>
      </c>
      <c r="K1879" s="24"/>
    </row>
    <row r="1880" outlineLevel="1" spans="1:11">
      <c r="A1880" s="24"/>
      <c r="B1880" s="81" t="str">
        <f t="shared" si="50"/>
        <v>1396</v>
      </c>
      <c r="C1880" s="69" t="s">
        <v>2027</v>
      </c>
      <c r="D1880" s="76" t="s">
        <v>89</v>
      </c>
      <c r="E1880" s="76">
        <v>0.1</v>
      </c>
      <c r="F1880" s="76" t="s">
        <v>44</v>
      </c>
      <c r="G1880" s="76"/>
      <c r="H1880" s="76"/>
      <c r="I1880" s="76" t="s">
        <v>38</v>
      </c>
      <c r="J1880" s="83" t="s">
        <v>2028</v>
      </c>
      <c r="K1880" s="24"/>
    </row>
    <row r="1881" outlineLevel="1" spans="1:11">
      <c r="A1881" s="24"/>
      <c r="B1881" s="81" t="str">
        <f t="shared" si="50"/>
        <v>1397</v>
      </c>
      <c r="C1881" s="69" t="s">
        <v>2029</v>
      </c>
      <c r="D1881" s="76" t="s">
        <v>89</v>
      </c>
      <c r="E1881" s="76">
        <v>0.01</v>
      </c>
      <c r="F1881" s="76" t="s">
        <v>303</v>
      </c>
      <c r="G1881" s="76"/>
      <c r="H1881" s="76"/>
      <c r="I1881" s="76" t="s">
        <v>38</v>
      </c>
      <c r="J1881" s="83" t="s">
        <v>2030</v>
      </c>
      <c r="K1881" s="24"/>
    </row>
    <row r="1882" outlineLevel="1" spans="1:11">
      <c r="A1882" s="24"/>
      <c r="B1882" s="81" t="str">
        <f t="shared" si="50"/>
        <v>1398</v>
      </c>
      <c r="C1882" s="69" t="s">
        <v>2031</v>
      </c>
      <c r="D1882" s="76" t="s">
        <v>89</v>
      </c>
      <c r="E1882" s="76">
        <v>0.1</v>
      </c>
      <c r="F1882" s="76" t="s">
        <v>44</v>
      </c>
      <c r="G1882" s="76"/>
      <c r="H1882" s="76"/>
      <c r="I1882" s="76" t="s">
        <v>38</v>
      </c>
      <c r="J1882" s="83" t="s">
        <v>2032</v>
      </c>
      <c r="K1882" s="24"/>
    </row>
    <row r="1883" outlineLevel="1" spans="1:11">
      <c r="A1883" s="24"/>
      <c r="B1883" s="81" t="str">
        <f t="shared" si="50"/>
        <v>1399</v>
      </c>
      <c r="C1883" s="69" t="s">
        <v>2033</v>
      </c>
      <c r="D1883" s="76" t="s">
        <v>89</v>
      </c>
      <c r="E1883" s="76">
        <v>0.01</v>
      </c>
      <c r="F1883" s="76" t="s">
        <v>303</v>
      </c>
      <c r="G1883" s="76"/>
      <c r="H1883" s="76"/>
      <c r="I1883" s="76" t="s">
        <v>38</v>
      </c>
      <c r="J1883" s="83" t="s">
        <v>2034</v>
      </c>
      <c r="K1883" s="24"/>
    </row>
    <row r="1884" outlineLevel="1" spans="1:11">
      <c r="A1884" s="24"/>
      <c r="B1884" s="81" t="str">
        <f t="shared" si="50"/>
        <v>139A</v>
      </c>
      <c r="C1884" s="69" t="s">
        <v>2035</v>
      </c>
      <c r="D1884" s="76" t="s">
        <v>89</v>
      </c>
      <c r="E1884" s="76">
        <v>0.1</v>
      </c>
      <c r="F1884" s="76" t="s">
        <v>44</v>
      </c>
      <c r="G1884" s="76"/>
      <c r="H1884" s="76"/>
      <c r="I1884" s="76" t="s">
        <v>38</v>
      </c>
      <c r="J1884" s="83" t="s">
        <v>2036</v>
      </c>
      <c r="K1884" s="24"/>
    </row>
    <row r="1885" outlineLevel="1" spans="1:11">
      <c r="A1885" s="24"/>
      <c r="B1885" s="81" t="str">
        <f t="shared" si="50"/>
        <v>139B</v>
      </c>
      <c r="C1885" s="69" t="s">
        <v>2037</v>
      </c>
      <c r="D1885" s="76" t="s">
        <v>89</v>
      </c>
      <c r="E1885" s="76">
        <v>0.01</v>
      </c>
      <c r="F1885" s="76" t="s">
        <v>303</v>
      </c>
      <c r="G1885" s="76"/>
      <c r="H1885" s="76"/>
      <c r="I1885" s="76" t="s">
        <v>38</v>
      </c>
      <c r="J1885" s="83" t="s">
        <v>2038</v>
      </c>
      <c r="K1885" s="24"/>
    </row>
    <row r="1886" outlineLevel="1" spans="1:11">
      <c r="A1886" s="24"/>
      <c r="B1886" s="81" t="str">
        <f t="shared" si="50"/>
        <v>139C</v>
      </c>
      <c r="C1886" s="69" t="s">
        <v>2039</v>
      </c>
      <c r="D1886" s="76" t="s">
        <v>89</v>
      </c>
      <c r="E1886" s="76">
        <v>0.1</v>
      </c>
      <c r="F1886" s="76" t="s">
        <v>44</v>
      </c>
      <c r="G1886" s="76"/>
      <c r="H1886" s="76"/>
      <c r="I1886" s="76" t="s">
        <v>38</v>
      </c>
      <c r="J1886" s="83" t="s">
        <v>2040</v>
      </c>
      <c r="K1886" s="24"/>
    </row>
    <row r="1887" outlineLevel="1" spans="1:11">
      <c r="A1887" s="24"/>
      <c r="B1887" s="81" t="str">
        <f t="shared" si="50"/>
        <v>139D</v>
      </c>
      <c r="C1887" s="69" t="s">
        <v>2041</v>
      </c>
      <c r="D1887" s="76" t="s">
        <v>89</v>
      </c>
      <c r="E1887" s="76">
        <v>0.01</v>
      </c>
      <c r="F1887" s="76" t="s">
        <v>303</v>
      </c>
      <c r="G1887" s="76"/>
      <c r="H1887" s="76"/>
      <c r="I1887" s="76" t="s">
        <v>38</v>
      </c>
      <c r="J1887" s="83" t="s">
        <v>2042</v>
      </c>
      <c r="K1887" s="24"/>
    </row>
    <row r="1888" outlineLevel="1" spans="1:11">
      <c r="A1888" s="24"/>
      <c r="B1888" s="81" t="str">
        <f t="shared" si="50"/>
        <v>139E</v>
      </c>
      <c r="C1888" s="69" t="s">
        <v>2043</v>
      </c>
      <c r="D1888" s="76" t="s">
        <v>89</v>
      </c>
      <c r="E1888" s="76">
        <v>0.1</v>
      </c>
      <c r="F1888" s="76" t="s">
        <v>44</v>
      </c>
      <c r="G1888" s="76"/>
      <c r="H1888" s="76"/>
      <c r="I1888" s="76" t="s">
        <v>38</v>
      </c>
      <c r="J1888" s="83" t="s">
        <v>2044</v>
      </c>
      <c r="K1888" s="24"/>
    </row>
    <row r="1889" outlineLevel="1" spans="1:11">
      <c r="A1889" s="24"/>
      <c r="B1889" s="81" t="str">
        <f t="shared" si="50"/>
        <v>139F</v>
      </c>
      <c r="C1889" s="69" t="s">
        <v>2045</v>
      </c>
      <c r="D1889" s="76" t="s">
        <v>89</v>
      </c>
      <c r="E1889" s="76">
        <v>0.01</v>
      </c>
      <c r="F1889" s="76" t="s">
        <v>303</v>
      </c>
      <c r="G1889" s="76"/>
      <c r="H1889" s="76"/>
      <c r="I1889" s="76" t="s">
        <v>38</v>
      </c>
      <c r="J1889" s="83" t="s">
        <v>2046</v>
      </c>
      <c r="K1889" s="24"/>
    </row>
    <row r="1890" outlineLevel="1" spans="1:11">
      <c r="A1890" s="24"/>
      <c r="B1890" s="81" t="str">
        <f t="shared" si="50"/>
        <v>13A0</v>
      </c>
      <c r="C1890" s="69" t="s">
        <v>2047</v>
      </c>
      <c r="D1890" s="76" t="s">
        <v>89</v>
      </c>
      <c r="E1890" s="76">
        <v>0.1</v>
      </c>
      <c r="F1890" s="76" t="s">
        <v>44</v>
      </c>
      <c r="G1890" s="76"/>
      <c r="H1890" s="76"/>
      <c r="I1890" s="76" t="s">
        <v>38</v>
      </c>
      <c r="J1890" s="83" t="s">
        <v>2048</v>
      </c>
      <c r="K1890" s="24"/>
    </row>
    <row r="1891" outlineLevel="1" spans="1:11">
      <c r="A1891" s="24"/>
      <c r="B1891" s="81" t="str">
        <f t="shared" si="50"/>
        <v>13A1</v>
      </c>
      <c r="C1891" s="69" t="s">
        <v>2049</v>
      </c>
      <c r="D1891" s="76" t="s">
        <v>89</v>
      </c>
      <c r="E1891" s="76">
        <v>0.01</v>
      </c>
      <c r="F1891" s="76" t="s">
        <v>303</v>
      </c>
      <c r="G1891" s="76"/>
      <c r="H1891" s="76"/>
      <c r="I1891" s="76" t="s">
        <v>38</v>
      </c>
      <c r="J1891" s="83" t="s">
        <v>2050</v>
      </c>
      <c r="K1891" s="24"/>
    </row>
    <row r="1892" outlineLevel="1" spans="1:11">
      <c r="A1892" s="24"/>
      <c r="B1892" s="81" t="str">
        <f t="shared" si="50"/>
        <v>13A2</v>
      </c>
      <c r="C1892" s="69" t="s">
        <v>2051</v>
      </c>
      <c r="D1892" s="76" t="s">
        <v>89</v>
      </c>
      <c r="E1892" s="76">
        <v>0.1</v>
      </c>
      <c r="F1892" s="76" t="s">
        <v>44</v>
      </c>
      <c r="G1892" s="76"/>
      <c r="H1892" s="76"/>
      <c r="I1892" s="76" t="s">
        <v>38</v>
      </c>
      <c r="J1892" s="83" t="s">
        <v>2052</v>
      </c>
      <c r="K1892" s="24"/>
    </row>
    <row r="1893" outlineLevel="1" spans="1:11">
      <c r="A1893" s="24"/>
      <c r="B1893" s="81" t="str">
        <f t="shared" si="50"/>
        <v>13A3</v>
      </c>
      <c r="C1893" s="69" t="s">
        <v>2053</v>
      </c>
      <c r="D1893" s="76" t="s">
        <v>89</v>
      </c>
      <c r="E1893" s="76">
        <v>0.01</v>
      </c>
      <c r="F1893" s="76" t="s">
        <v>303</v>
      </c>
      <c r="G1893" s="76"/>
      <c r="H1893" s="76"/>
      <c r="I1893" s="76" t="s">
        <v>38</v>
      </c>
      <c r="J1893" s="83" t="s">
        <v>2054</v>
      </c>
      <c r="K1893" s="24"/>
    </row>
    <row r="1894" outlineLevel="1" spans="1:11">
      <c r="A1894" s="24"/>
      <c r="B1894" s="81" t="str">
        <f t="shared" si="50"/>
        <v>13A4</v>
      </c>
      <c r="C1894" s="69" t="s">
        <v>2055</v>
      </c>
      <c r="D1894" s="76" t="s">
        <v>89</v>
      </c>
      <c r="E1894" s="76">
        <v>0.1</v>
      </c>
      <c r="F1894" s="76" t="s">
        <v>44</v>
      </c>
      <c r="G1894" s="76"/>
      <c r="H1894" s="76"/>
      <c r="I1894" s="76" t="s">
        <v>38</v>
      </c>
      <c r="J1894" s="83" t="s">
        <v>2056</v>
      </c>
      <c r="K1894" s="24"/>
    </row>
    <row r="1895" outlineLevel="1" spans="1:11">
      <c r="A1895" s="24"/>
      <c r="B1895" s="81" t="str">
        <f t="shared" si="50"/>
        <v>13A5</v>
      </c>
      <c r="C1895" s="69" t="s">
        <v>2057</v>
      </c>
      <c r="D1895" s="76" t="s">
        <v>89</v>
      </c>
      <c r="E1895" s="76">
        <v>0.01</v>
      </c>
      <c r="F1895" s="76" t="s">
        <v>303</v>
      </c>
      <c r="G1895" s="76"/>
      <c r="H1895" s="76"/>
      <c r="I1895" s="76" t="s">
        <v>38</v>
      </c>
      <c r="J1895" s="83" t="s">
        <v>2058</v>
      </c>
      <c r="K1895" s="24"/>
    </row>
    <row r="1896" outlineLevel="1" spans="1:11">
      <c r="A1896" s="24"/>
      <c r="B1896" s="81" t="str">
        <f t="shared" si="50"/>
        <v>13A6</v>
      </c>
      <c r="C1896" s="69" t="s">
        <v>2059</v>
      </c>
      <c r="D1896" s="76" t="s">
        <v>89</v>
      </c>
      <c r="E1896" s="76">
        <v>0.1</v>
      </c>
      <c r="F1896" s="76" t="s">
        <v>44</v>
      </c>
      <c r="G1896" s="76"/>
      <c r="H1896" s="76"/>
      <c r="I1896" s="76" t="s">
        <v>38</v>
      </c>
      <c r="J1896" s="83" t="s">
        <v>2060</v>
      </c>
      <c r="K1896" s="24"/>
    </row>
    <row r="1897" outlineLevel="1" spans="1:11">
      <c r="A1897" s="24"/>
      <c r="B1897" s="81" t="str">
        <f t="shared" si="50"/>
        <v>13A7</v>
      </c>
      <c r="C1897" s="69" t="s">
        <v>2061</v>
      </c>
      <c r="D1897" s="76" t="s">
        <v>89</v>
      </c>
      <c r="E1897" s="76">
        <v>0.01</v>
      </c>
      <c r="F1897" s="76" t="s">
        <v>303</v>
      </c>
      <c r="G1897" s="76"/>
      <c r="H1897" s="76"/>
      <c r="I1897" s="76" t="s">
        <v>38</v>
      </c>
      <c r="J1897" s="83" t="s">
        <v>2062</v>
      </c>
      <c r="K1897" s="24"/>
    </row>
    <row r="1898" outlineLevel="1" spans="1:11">
      <c r="A1898" s="24"/>
      <c r="B1898" s="81" t="str">
        <f t="shared" si="50"/>
        <v>13A8</v>
      </c>
      <c r="C1898" s="69" t="s">
        <v>2063</v>
      </c>
      <c r="D1898" s="76" t="s">
        <v>89</v>
      </c>
      <c r="E1898" s="76">
        <v>0.1</v>
      </c>
      <c r="F1898" s="76" t="s">
        <v>44</v>
      </c>
      <c r="G1898" s="76"/>
      <c r="H1898" s="76"/>
      <c r="I1898" s="76" t="s">
        <v>38</v>
      </c>
      <c r="J1898" s="83" t="s">
        <v>2064</v>
      </c>
      <c r="K1898" s="24"/>
    </row>
    <row r="1899" outlineLevel="1" spans="1:11">
      <c r="A1899" s="24"/>
      <c r="B1899" s="81" t="str">
        <f t="shared" si="50"/>
        <v>13A9</v>
      </c>
      <c r="C1899" s="69" t="s">
        <v>2065</v>
      </c>
      <c r="D1899" s="76" t="s">
        <v>89</v>
      </c>
      <c r="E1899" s="76">
        <v>0.01</v>
      </c>
      <c r="F1899" s="76" t="s">
        <v>303</v>
      </c>
      <c r="G1899" s="76"/>
      <c r="H1899" s="76"/>
      <c r="I1899" s="76" t="s">
        <v>38</v>
      </c>
      <c r="J1899" s="83" t="s">
        <v>2066</v>
      </c>
      <c r="K1899" s="24"/>
    </row>
    <row r="1900" outlineLevel="1" spans="1:11">
      <c r="A1900" s="24"/>
      <c r="B1900" s="81" t="str">
        <f t="shared" si="50"/>
        <v>13AA</v>
      </c>
      <c r="C1900" s="69" t="s">
        <v>2067</v>
      </c>
      <c r="D1900" s="76" t="s">
        <v>89</v>
      </c>
      <c r="E1900" s="76">
        <v>0.1</v>
      </c>
      <c r="F1900" s="76" t="s">
        <v>44</v>
      </c>
      <c r="G1900" s="76"/>
      <c r="H1900" s="76"/>
      <c r="I1900" s="76" t="s">
        <v>38</v>
      </c>
      <c r="J1900" s="83" t="s">
        <v>2068</v>
      </c>
      <c r="K1900" s="24"/>
    </row>
    <row r="1901" outlineLevel="1" spans="1:11">
      <c r="A1901" s="24"/>
      <c r="B1901" s="81" t="str">
        <f t="shared" si="50"/>
        <v>13AB</v>
      </c>
      <c r="C1901" s="69" t="s">
        <v>2069</v>
      </c>
      <c r="D1901" s="76" t="s">
        <v>89</v>
      </c>
      <c r="E1901" s="76">
        <v>0.01</v>
      </c>
      <c r="F1901" s="76" t="s">
        <v>303</v>
      </c>
      <c r="G1901" s="76"/>
      <c r="H1901" s="76"/>
      <c r="I1901" s="76" t="s">
        <v>38</v>
      </c>
      <c r="J1901" s="83" t="s">
        <v>2070</v>
      </c>
      <c r="K1901" s="24"/>
    </row>
    <row r="1902" outlineLevel="1" spans="1:11">
      <c r="A1902" s="24"/>
      <c r="B1902" s="81" t="str">
        <f t="shared" si="50"/>
        <v>13AC</v>
      </c>
      <c r="C1902" s="69" t="s">
        <v>2071</v>
      </c>
      <c r="D1902" s="76" t="s">
        <v>89</v>
      </c>
      <c r="E1902" s="76">
        <v>0.1</v>
      </c>
      <c r="F1902" s="76" t="s">
        <v>44</v>
      </c>
      <c r="G1902" s="76"/>
      <c r="H1902" s="76"/>
      <c r="I1902" s="76" t="s">
        <v>38</v>
      </c>
      <c r="J1902" s="83" t="s">
        <v>2072</v>
      </c>
      <c r="K1902" s="24"/>
    </row>
    <row r="1903" outlineLevel="1" spans="1:11">
      <c r="A1903" s="24"/>
      <c r="B1903" s="81" t="str">
        <f t="shared" si="50"/>
        <v>13AD</v>
      </c>
      <c r="C1903" s="69" t="s">
        <v>2073</v>
      </c>
      <c r="D1903" s="76" t="s">
        <v>89</v>
      </c>
      <c r="E1903" s="76">
        <v>0.01</v>
      </c>
      <c r="F1903" s="76" t="s">
        <v>303</v>
      </c>
      <c r="G1903" s="76"/>
      <c r="H1903" s="76"/>
      <c r="I1903" s="76" t="s">
        <v>38</v>
      </c>
      <c r="J1903" s="83" t="s">
        <v>2074</v>
      </c>
      <c r="K1903" s="24"/>
    </row>
    <row r="1904" outlineLevel="1" spans="1:11">
      <c r="A1904" s="24"/>
      <c r="B1904" s="81" t="str">
        <f t="shared" si="50"/>
        <v>13AE</v>
      </c>
      <c r="C1904" s="69" t="s">
        <v>2075</v>
      </c>
      <c r="D1904" s="76" t="s">
        <v>89</v>
      </c>
      <c r="E1904" s="76">
        <v>0.1</v>
      </c>
      <c r="F1904" s="76" t="s">
        <v>44</v>
      </c>
      <c r="G1904" s="76"/>
      <c r="H1904" s="76"/>
      <c r="I1904" s="76" t="s">
        <v>38</v>
      </c>
      <c r="J1904" s="83" t="s">
        <v>2076</v>
      </c>
      <c r="K1904" s="24"/>
    </row>
    <row r="1905" outlineLevel="1" spans="1:11">
      <c r="A1905" s="24"/>
      <c r="B1905" s="81" t="str">
        <f t="shared" si="50"/>
        <v>13AF</v>
      </c>
      <c r="C1905" s="69" t="s">
        <v>2077</v>
      </c>
      <c r="D1905" s="76" t="s">
        <v>89</v>
      </c>
      <c r="E1905" s="76">
        <v>0.01</v>
      </c>
      <c r="F1905" s="76" t="s">
        <v>303</v>
      </c>
      <c r="G1905" s="76"/>
      <c r="H1905" s="76"/>
      <c r="I1905" s="76" t="s">
        <v>38</v>
      </c>
      <c r="J1905" s="83" t="s">
        <v>2078</v>
      </c>
      <c r="K1905" s="24"/>
    </row>
    <row r="1906" outlineLevel="1" spans="1:11">
      <c r="A1906" s="24"/>
      <c r="B1906" s="81" t="str">
        <f t="shared" si="50"/>
        <v>13B0</v>
      </c>
      <c r="C1906" s="69" t="s">
        <v>2079</v>
      </c>
      <c r="D1906" s="76" t="s">
        <v>89</v>
      </c>
      <c r="E1906" s="76">
        <v>0.1</v>
      </c>
      <c r="F1906" s="76" t="s">
        <v>44</v>
      </c>
      <c r="G1906" s="76"/>
      <c r="H1906" s="76"/>
      <c r="I1906" s="76" t="s">
        <v>38</v>
      </c>
      <c r="J1906" s="83" t="s">
        <v>2080</v>
      </c>
      <c r="K1906" s="24"/>
    </row>
    <row r="1907" outlineLevel="1" spans="1:11">
      <c r="A1907" s="24"/>
      <c r="B1907" s="81" t="str">
        <f t="shared" si="50"/>
        <v>13B1</v>
      </c>
      <c r="C1907" s="69" t="s">
        <v>2081</v>
      </c>
      <c r="D1907" s="76" t="s">
        <v>89</v>
      </c>
      <c r="E1907" s="76">
        <v>0.01</v>
      </c>
      <c r="F1907" s="76" t="s">
        <v>303</v>
      </c>
      <c r="G1907" s="76"/>
      <c r="H1907" s="76"/>
      <c r="I1907" s="76" t="s">
        <v>38</v>
      </c>
      <c r="J1907" s="83" t="s">
        <v>2082</v>
      </c>
      <c r="K1907" s="24"/>
    </row>
    <row r="1908" outlineLevel="1" spans="1:11">
      <c r="A1908" s="24"/>
      <c r="B1908" s="81" t="str">
        <f t="shared" si="50"/>
        <v>13B2</v>
      </c>
      <c r="C1908" s="69" t="s">
        <v>2083</v>
      </c>
      <c r="D1908" s="76" t="s">
        <v>89</v>
      </c>
      <c r="E1908" s="76">
        <v>0.1</v>
      </c>
      <c r="F1908" s="76" t="s">
        <v>44</v>
      </c>
      <c r="G1908" s="76"/>
      <c r="H1908" s="76"/>
      <c r="I1908" s="76" t="s">
        <v>38</v>
      </c>
      <c r="J1908" s="83" t="s">
        <v>2084</v>
      </c>
      <c r="K1908" s="24"/>
    </row>
    <row r="1909" outlineLevel="1" spans="1:11">
      <c r="A1909" s="24"/>
      <c r="B1909" s="81" t="str">
        <f t="shared" si="50"/>
        <v>13B3</v>
      </c>
      <c r="C1909" s="69" t="s">
        <v>2085</v>
      </c>
      <c r="D1909" s="76" t="s">
        <v>89</v>
      </c>
      <c r="E1909" s="76">
        <v>0.01</v>
      </c>
      <c r="F1909" s="76" t="s">
        <v>303</v>
      </c>
      <c r="G1909" s="76"/>
      <c r="H1909" s="76"/>
      <c r="I1909" s="76" t="s">
        <v>38</v>
      </c>
      <c r="J1909" s="83" t="s">
        <v>2086</v>
      </c>
      <c r="K1909" s="24"/>
    </row>
    <row r="1910" outlineLevel="1" spans="1:11">
      <c r="A1910" s="24"/>
      <c r="B1910" s="81" t="str">
        <f t="shared" si="50"/>
        <v>13B4</v>
      </c>
      <c r="C1910" s="69" t="s">
        <v>2087</v>
      </c>
      <c r="D1910" s="76" t="s">
        <v>89</v>
      </c>
      <c r="E1910" s="76">
        <v>0.1</v>
      </c>
      <c r="F1910" s="76" t="s">
        <v>44</v>
      </c>
      <c r="G1910" s="76"/>
      <c r="H1910" s="76"/>
      <c r="I1910" s="76" t="s">
        <v>38</v>
      </c>
      <c r="J1910" s="83" t="s">
        <v>2088</v>
      </c>
      <c r="K1910" s="24"/>
    </row>
    <row r="1911" outlineLevel="1" spans="1:11">
      <c r="A1911" s="24"/>
      <c r="B1911" s="81" t="str">
        <f t="shared" si="50"/>
        <v>13B5</v>
      </c>
      <c r="C1911" s="69" t="s">
        <v>2089</v>
      </c>
      <c r="D1911" s="76" t="s">
        <v>89</v>
      </c>
      <c r="E1911" s="76">
        <v>0.01</v>
      </c>
      <c r="F1911" s="76" t="s">
        <v>303</v>
      </c>
      <c r="G1911" s="76"/>
      <c r="H1911" s="76"/>
      <c r="I1911" s="76" t="s">
        <v>38</v>
      </c>
      <c r="J1911" s="83" t="s">
        <v>2090</v>
      </c>
      <c r="K1911" s="24"/>
    </row>
    <row r="1912" outlineLevel="1" spans="1:11">
      <c r="A1912" s="24"/>
      <c r="B1912" s="81" t="str">
        <f t="shared" si="50"/>
        <v>13B6</v>
      </c>
      <c r="C1912" s="69" t="s">
        <v>2091</v>
      </c>
      <c r="D1912" s="76" t="s">
        <v>89</v>
      </c>
      <c r="E1912" s="76">
        <v>0.1</v>
      </c>
      <c r="F1912" s="76" t="s">
        <v>44</v>
      </c>
      <c r="G1912" s="76"/>
      <c r="H1912" s="76"/>
      <c r="I1912" s="76" t="s">
        <v>38</v>
      </c>
      <c r="J1912" s="83" t="s">
        <v>2092</v>
      </c>
      <c r="K1912" s="24"/>
    </row>
    <row r="1913" outlineLevel="1" spans="1:11">
      <c r="A1913" s="24"/>
      <c r="B1913" s="81" t="str">
        <f t="shared" si="50"/>
        <v>13B7</v>
      </c>
      <c r="C1913" s="69" t="s">
        <v>2093</v>
      </c>
      <c r="D1913" s="76" t="s">
        <v>89</v>
      </c>
      <c r="E1913" s="76">
        <v>0.01</v>
      </c>
      <c r="F1913" s="76" t="s">
        <v>303</v>
      </c>
      <c r="G1913" s="76"/>
      <c r="H1913" s="76"/>
      <c r="I1913" s="76" t="s">
        <v>38</v>
      </c>
      <c r="J1913" s="83" t="s">
        <v>2094</v>
      </c>
      <c r="K1913" s="24"/>
    </row>
    <row r="1914" outlineLevel="1" spans="1:11">
      <c r="A1914" s="24"/>
      <c r="B1914" s="81" t="str">
        <f t="shared" si="50"/>
        <v>13B8</v>
      </c>
      <c r="C1914" s="69" t="s">
        <v>2095</v>
      </c>
      <c r="D1914" s="76" t="s">
        <v>89</v>
      </c>
      <c r="E1914" s="76">
        <v>0.1</v>
      </c>
      <c r="F1914" s="76" t="s">
        <v>44</v>
      </c>
      <c r="G1914" s="76"/>
      <c r="H1914" s="76"/>
      <c r="I1914" s="76" t="s">
        <v>38</v>
      </c>
      <c r="J1914" s="83" t="s">
        <v>2096</v>
      </c>
      <c r="K1914" s="24"/>
    </row>
    <row r="1915" outlineLevel="1" spans="1:11">
      <c r="A1915" s="24"/>
      <c r="B1915" s="81" t="str">
        <f t="shared" si="50"/>
        <v>13B9</v>
      </c>
      <c r="C1915" s="69" t="s">
        <v>2097</v>
      </c>
      <c r="D1915" s="76" t="s">
        <v>89</v>
      </c>
      <c r="E1915" s="76">
        <v>0.01</v>
      </c>
      <c r="F1915" s="76" t="s">
        <v>303</v>
      </c>
      <c r="G1915" s="76"/>
      <c r="H1915" s="76"/>
      <c r="I1915" s="76" t="s">
        <v>38</v>
      </c>
      <c r="J1915" s="83" t="s">
        <v>2098</v>
      </c>
      <c r="K1915" s="24"/>
    </row>
    <row r="1916" outlineLevel="1" spans="1:11">
      <c r="A1916" s="24"/>
      <c r="B1916" s="81" t="str">
        <f t="shared" si="50"/>
        <v>13BA</v>
      </c>
      <c r="C1916" s="69" t="s">
        <v>2099</v>
      </c>
      <c r="D1916" s="76" t="s">
        <v>89</v>
      </c>
      <c r="E1916" s="76">
        <v>0.1</v>
      </c>
      <c r="F1916" s="76" t="s">
        <v>44</v>
      </c>
      <c r="G1916" s="76"/>
      <c r="H1916" s="76"/>
      <c r="I1916" s="76" t="s">
        <v>38</v>
      </c>
      <c r="J1916" s="83" t="s">
        <v>2100</v>
      </c>
      <c r="K1916" s="24"/>
    </row>
    <row r="1917" outlineLevel="1" spans="1:11">
      <c r="A1917" s="24"/>
      <c r="B1917" s="81" t="str">
        <f t="shared" si="50"/>
        <v>13BB</v>
      </c>
      <c r="C1917" s="69" t="s">
        <v>2101</v>
      </c>
      <c r="D1917" s="76" t="s">
        <v>89</v>
      </c>
      <c r="E1917" s="76">
        <v>0.01</v>
      </c>
      <c r="F1917" s="76" t="s">
        <v>303</v>
      </c>
      <c r="G1917" s="76"/>
      <c r="H1917" s="76"/>
      <c r="I1917" s="76" t="s">
        <v>38</v>
      </c>
      <c r="J1917" s="83" t="s">
        <v>2102</v>
      </c>
      <c r="K1917" s="24"/>
    </row>
    <row r="1918" outlineLevel="1" spans="1:11">
      <c r="A1918" s="24"/>
      <c r="B1918" s="81" t="str">
        <f t="shared" si="50"/>
        <v>13BC</v>
      </c>
      <c r="C1918" s="69" t="s">
        <v>2103</v>
      </c>
      <c r="D1918" s="76" t="s">
        <v>89</v>
      </c>
      <c r="E1918" s="76">
        <v>0.1</v>
      </c>
      <c r="F1918" s="76" t="s">
        <v>44</v>
      </c>
      <c r="G1918" s="76"/>
      <c r="H1918" s="76"/>
      <c r="I1918" s="76" t="s">
        <v>38</v>
      </c>
      <c r="J1918" s="83" t="s">
        <v>2104</v>
      </c>
      <c r="K1918" s="24"/>
    </row>
    <row r="1919" outlineLevel="1" spans="1:11">
      <c r="A1919" s="24"/>
      <c r="B1919" s="81" t="str">
        <f t="shared" si="50"/>
        <v>13BD</v>
      </c>
      <c r="C1919" s="69" t="s">
        <v>2105</v>
      </c>
      <c r="D1919" s="76" t="s">
        <v>89</v>
      </c>
      <c r="E1919" s="76">
        <v>0.01</v>
      </c>
      <c r="F1919" s="76" t="s">
        <v>303</v>
      </c>
      <c r="G1919" s="76"/>
      <c r="H1919" s="76"/>
      <c r="I1919" s="76" t="s">
        <v>38</v>
      </c>
      <c r="J1919" s="83" t="s">
        <v>2106</v>
      </c>
      <c r="K1919" s="24"/>
    </row>
    <row r="1920" outlineLevel="1" spans="1:11">
      <c r="A1920" s="24"/>
      <c r="B1920" s="81" t="str">
        <f t="shared" si="50"/>
        <v>13BE</v>
      </c>
      <c r="C1920" s="69" t="s">
        <v>2107</v>
      </c>
      <c r="D1920" s="76" t="s">
        <v>89</v>
      </c>
      <c r="E1920" s="76">
        <v>0.1</v>
      </c>
      <c r="F1920" s="76" t="s">
        <v>44</v>
      </c>
      <c r="G1920" s="76"/>
      <c r="H1920" s="76"/>
      <c r="I1920" s="76" t="s">
        <v>38</v>
      </c>
      <c r="J1920" s="83" t="s">
        <v>2108</v>
      </c>
      <c r="K1920" s="24"/>
    </row>
    <row r="1921" outlineLevel="1" spans="1:11">
      <c r="A1921" s="24"/>
      <c r="B1921" s="81" t="str">
        <f t="shared" si="50"/>
        <v>13BF</v>
      </c>
      <c r="C1921" s="69" t="s">
        <v>2109</v>
      </c>
      <c r="D1921" s="76" t="s">
        <v>89</v>
      </c>
      <c r="E1921" s="76">
        <v>0.01</v>
      </c>
      <c r="F1921" s="76" t="s">
        <v>303</v>
      </c>
      <c r="G1921" s="76"/>
      <c r="H1921" s="76"/>
      <c r="I1921" s="76" t="s">
        <v>38</v>
      </c>
      <c r="J1921" s="83" t="s">
        <v>2110</v>
      </c>
      <c r="K1921" s="24"/>
    </row>
    <row r="1922" outlineLevel="1" spans="1:11">
      <c r="A1922" s="24"/>
      <c r="B1922" s="81" t="str">
        <f t="shared" si="50"/>
        <v>13C0</v>
      </c>
      <c r="C1922" s="63" t="s">
        <v>2111</v>
      </c>
      <c r="D1922" s="59" t="s">
        <v>59</v>
      </c>
      <c r="E1922" s="59"/>
      <c r="F1922" s="59"/>
      <c r="G1922" s="59"/>
      <c r="H1922" s="59"/>
      <c r="I1922" s="59" t="s">
        <v>38</v>
      </c>
      <c r="J1922" s="63" t="s">
        <v>573</v>
      </c>
      <c r="K1922" s="24"/>
    </row>
    <row r="1923" outlineLevel="1" spans="1:11">
      <c r="A1923" s="24"/>
      <c r="B1923" s="81" t="str">
        <f t="shared" si="50"/>
        <v>13C1</v>
      </c>
      <c r="C1923" s="63"/>
      <c r="D1923" s="59"/>
      <c r="E1923" s="59"/>
      <c r="F1923" s="59"/>
      <c r="G1923" s="59"/>
      <c r="H1923" s="59"/>
      <c r="I1923" s="59"/>
      <c r="J1923" s="63"/>
      <c r="K1923" s="24"/>
    </row>
    <row r="1924" outlineLevel="1" spans="1:11">
      <c r="A1924" s="24"/>
      <c r="B1924" s="81" t="str">
        <f t="shared" si="50"/>
        <v>13C2</v>
      </c>
      <c r="C1924" s="63"/>
      <c r="D1924" s="59"/>
      <c r="E1924" s="59"/>
      <c r="F1924" s="59"/>
      <c r="G1924" s="59"/>
      <c r="H1924" s="59"/>
      <c r="I1924" s="59"/>
      <c r="J1924" s="63"/>
      <c r="K1924" s="24"/>
    </row>
    <row r="1925" ht="57" customHeight="1" outlineLevel="1" spans="1:11">
      <c r="A1925" s="24"/>
      <c r="B1925" s="81" t="str">
        <f t="shared" si="50"/>
        <v>13C3</v>
      </c>
      <c r="C1925" s="63"/>
      <c r="D1925" s="59"/>
      <c r="E1925" s="59"/>
      <c r="F1925" s="59"/>
      <c r="G1925" s="59"/>
      <c r="H1925" s="59"/>
      <c r="I1925" s="59"/>
      <c r="J1925" s="63"/>
      <c r="K1925" s="24"/>
    </row>
    <row r="1926" outlineLevel="1" spans="1:11">
      <c r="A1926" s="24"/>
      <c r="B1926" s="81" t="str">
        <f t="shared" si="50"/>
        <v>13C4</v>
      </c>
      <c r="C1926" s="69" t="s">
        <v>2112</v>
      </c>
      <c r="D1926" s="76" t="s">
        <v>89</v>
      </c>
      <c r="E1926" s="76">
        <v>0.1</v>
      </c>
      <c r="F1926" s="76" t="s">
        <v>44</v>
      </c>
      <c r="G1926" s="76"/>
      <c r="H1926" s="76"/>
      <c r="I1926" s="76" t="s">
        <v>38</v>
      </c>
      <c r="J1926" s="83" t="s">
        <v>2113</v>
      </c>
      <c r="K1926" s="24"/>
    </row>
    <row r="1927" outlineLevel="1" spans="1:11">
      <c r="A1927" s="24"/>
      <c r="B1927" s="81" t="str">
        <f t="shared" si="50"/>
        <v>13C5</v>
      </c>
      <c r="C1927" s="69" t="s">
        <v>2114</v>
      </c>
      <c r="D1927" s="76" t="s">
        <v>89</v>
      </c>
      <c r="E1927" s="76">
        <v>0.01</v>
      </c>
      <c r="F1927" s="76" t="s">
        <v>303</v>
      </c>
      <c r="G1927" s="76"/>
      <c r="H1927" s="76"/>
      <c r="I1927" s="76" t="s">
        <v>38</v>
      </c>
      <c r="J1927" s="83" t="s">
        <v>2115</v>
      </c>
      <c r="K1927" s="24"/>
    </row>
    <row r="1928" outlineLevel="1" spans="1:11">
      <c r="A1928" s="24"/>
      <c r="B1928" s="81" t="str">
        <f t="shared" si="50"/>
        <v>13C6</v>
      </c>
      <c r="C1928" s="69" t="s">
        <v>2116</v>
      </c>
      <c r="D1928" s="76" t="s">
        <v>89</v>
      </c>
      <c r="E1928" s="76">
        <v>0.1</v>
      </c>
      <c r="F1928" s="76" t="s">
        <v>44</v>
      </c>
      <c r="G1928" s="76"/>
      <c r="H1928" s="76"/>
      <c r="I1928" s="76" t="s">
        <v>38</v>
      </c>
      <c r="J1928" s="83" t="s">
        <v>2117</v>
      </c>
      <c r="K1928" s="24"/>
    </row>
    <row r="1929" outlineLevel="1" spans="1:11">
      <c r="A1929" s="24"/>
      <c r="B1929" s="81" t="str">
        <f t="shared" si="50"/>
        <v>13C7</v>
      </c>
      <c r="C1929" s="69" t="s">
        <v>2118</v>
      </c>
      <c r="D1929" s="76" t="s">
        <v>89</v>
      </c>
      <c r="E1929" s="76">
        <v>0.01</v>
      </c>
      <c r="F1929" s="76" t="s">
        <v>303</v>
      </c>
      <c r="G1929" s="76"/>
      <c r="H1929" s="76"/>
      <c r="I1929" s="76" t="s">
        <v>38</v>
      </c>
      <c r="J1929" s="83" t="s">
        <v>2119</v>
      </c>
      <c r="K1929" s="24"/>
    </row>
    <row r="1930" outlineLevel="1" spans="1:11">
      <c r="A1930" s="24"/>
      <c r="B1930" s="81" t="str">
        <f t="shared" si="50"/>
        <v>13C8</v>
      </c>
      <c r="C1930" s="69" t="s">
        <v>2120</v>
      </c>
      <c r="D1930" s="76" t="s">
        <v>89</v>
      </c>
      <c r="E1930" s="76">
        <v>0.1</v>
      </c>
      <c r="F1930" s="76" t="s">
        <v>44</v>
      </c>
      <c r="G1930" s="76"/>
      <c r="H1930" s="76"/>
      <c r="I1930" s="76" t="s">
        <v>38</v>
      </c>
      <c r="J1930" s="83" t="s">
        <v>2121</v>
      </c>
      <c r="K1930" s="24"/>
    </row>
    <row r="1931" outlineLevel="1" spans="1:11">
      <c r="A1931" s="24"/>
      <c r="B1931" s="81" t="str">
        <f t="shared" ref="B1931:B1998" si="51">DEC2HEX(4928+ROW()-ROW($B$1794),4)</f>
        <v>13C9</v>
      </c>
      <c r="C1931" s="69" t="s">
        <v>2122</v>
      </c>
      <c r="D1931" s="76" t="s">
        <v>89</v>
      </c>
      <c r="E1931" s="76">
        <v>0.01</v>
      </c>
      <c r="F1931" s="76" t="s">
        <v>303</v>
      </c>
      <c r="G1931" s="76"/>
      <c r="H1931" s="76"/>
      <c r="I1931" s="76" t="s">
        <v>38</v>
      </c>
      <c r="J1931" s="83" t="s">
        <v>2123</v>
      </c>
      <c r="K1931" s="24"/>
    </row>
    <row r="1932" outlineLevel="1" spans="1:11">
      <c r="A1932" s="24"/>
      <c r="B1932" s="81" t="str">
        <f t="shared" si="51"/>
        <v>13CA</v>
      </c>
      <c r="C1932" s="69" t="s">
        <v>2124</v>
      </c>
      <c r="D1932" s="76" t="s">
        <v>89</v>
      </c>
      <c r="E1932" s="76">
        <v>0.1</v>
      </c>
      <c r="F1932" s="76" t="s">
        <v>44</v>
      </c>
      <c r="G1932" s="76"/>
      <c r="H1932" s="76"/>
      <c r="I1932" s="76" t="s">
        <v>38</v>
      </c>
      <c r="J1932" s="83" t="s">
        <v>2125</v>
      </c>
      <c r="K1932" s="24"/>
    </row>
    <row r="1933" outlineLevel="1" spans="1:11">
      <c r="A1933" s="24"/>
      <c r="B1933" s="81" t="str">
        <f t="shared" si="51"/>
        <v>13CB</v>
      </c>
      <c r="C1933" s="69" t="s">
        <v>2126</v>
      </c>
      <c r="D1933" s="76" t="s">
        <v>89</v>
      </c>
      <c r="E1933" s="76">
        <v>0.01</v>
      </c>
      <c r="F1933" s="76" t="s">
        <v>303</v>
      </c>
      <c r="G1933" s="76"/>
      <c r="H1933" s="76"/>
      <c r="I1933" s="76" t="s">
        <v>38</v>
      </c>
      <c r="J1933" s="83" t="s">
        <v>2127</v>
      </c>
      <c r="K1933" s="24"/>
    </row>
    <row r="1934" outlineLevel="1" spans="1:11">
      <c r="A1934" s="24"/>
      <c r="B1934" s="81" t="str">
        <f t="shared" si="51"/>
        <v>13CC</v>
      </c>
      <c r="C1934" s="69" t="s">
        <v>2128</v>
      </c>
      <c r="D1934" s="76" t="s">
        <v>89</v>
      </c>
      <c r="E1934" s="76">
        <v>0.1</v>
      </c>
      <c r="F1934" s="76" t="s">
        <v>44</v>
      </c>
      <c r="G1934" s="76"/>
      <c r="H1934" s="76"/>
      <c r="I1934" s="76" t="s">
        <v>38</v>
      </c>
      <c r="J1934" s="83" t="s">
        <v>2129</v>
      </c>
      <c r="K1934" s="24"/>
    </row>
    <row r="1935" outlineLevel="1" spans="1:11">
      <c r="A1935" s="24"/>
      <c r="B1935" s="81" t="str">
        <f t="shared" si="51"/>
        <v>13CD</v>
      </c>
      <c r="C1935" s="69" t="s">
        <v>2130</v>
      </c>
      <c r="D1935" s="76" t="s">
        <v>89</v>
      </c>
      <c r="E1935" s="76">
        <v>0.01</v>
      </c>
      <c r="F1935" s="76" t="s">
        <v>303</v>
      </c>
      <c r="G1935" s="76"/>
      <c r="H1935" s="76"/>
      <c r="I1935" s="76" t="s">
        <v>38</v>
      </c>
      <c r="J1935" s="83" t="s">
        <v>2131</v>
      </c>
      <c r="K1935" s="24"/>
    </row>
    <row r="1936" outlineLevel="1" spans="1:11">
      <c r="A1936" s="24"/>
      <c r="B1936" s="81" t="str">
        <f t="shared" si="51"/>
        <v>13CE</v>
      </c>
      <c r="C1936" s="69" t="s">
        <v>2132</v>
      </c>
      <c r="D1936" s="76" t="s">
        <v>89</v>
      </c>
      <c r="E1936" s="76">
        <v>0.1</v>
      </c>
      <c r="F1936" s="76" t="s">
        <v>44</v>
      </c>
      <c r="G1936" s="76"/>
      <c r="H1936" s="76"/>
      <c r="I1936" s="76" t="s">
        <v>38</v>
      </c>
      <c r="J1936" s="83" t="s">
        <v>2133</v>
      </c>
      <c r="K1936" s="24"/>
    </row>
    <row r="1937" outlineLevel="1" spans="1:11">
      <c r="A1937" s="24"/>
      <c r="B1937" s="81" t="str">
        <f t="shared" si="51"/>
        <v>13CF</v>
      </c>
      <c r="C1937" s="69" t="s">
        <v>2134</v>
      </c>
      <c r="D1937" s="76" t="s">
        <v>89</v>
      </c>
      <c r="E1937" s="76">
        <v>0.01</v>
      </c>
      <c r="F1937" s="76" t="s">
        <v>303</v>
      </c>
      <c r="G1937" s="76"/>
      <c r="H1937" s="76"/>
      <c r="I1937" s="76" t="s">
        <v>38</v>
      </c>
      <c r="J1937" s="83" t="s">
        <v>2135</v>
      </c>
      <c r="K1937" s="24"/>
    </row>
    <row r="1938" outlineLevel="1" spans="1:11">
      <c r="A1938" s="24"/>
      <c r="B1938" s="81" t="str">
        <f t="shared" si="51"/>
        <v>13D0</v>
      </c>
      <c r="C1938" s="69" t="s">
        <v>2136</v>
      </c>
      <c r="D1938" s="76" t="s">
        <v>89</v>
      </c>
      <c r="E1938" s="76">
        <v>0.1</v>
      </c>
      <c r="F1938" s="76" t="s">
        <v>44</v>
      </c>
      <c r="G1938" s="76"/>
      <c r="H1938" s="76"/>
      <c r="I1938" s="76" t="s">
        <v>38</v>
      </c>
      <c r="J1938" s="83" t="s">
        <v>2137</v>
      </c>
      <c r="K1938" s="24"/>
    </row>
    <row r="1939" outlineLevel="1" spans="1:11">
      <c r="A1939" s="24"/>
      <c r="B1939" s="81" t="str">
        <f t="shared" si="51"/>
        <v>13D1</v>
      </c>
      <c r="C1939" s="69" t="s">
        <v>2138</v>
      </c>
      <c r="D1939" s="76" t="s">
        <v>89</v>
      </c>
      <c r="E1939" s="76">
        <v>0.01</v>
      </c>
      <c r="F1939" s="76" t="s">
        <v>303</v>
      </c>
      <c r="G1939" s="76"/>
      <c r="H1939" s="76"/>
      <c r="I1939" s="76" t="s">
        <v>38</v>
      </c>
      <c r="J1939" s="83" t="s">
        <v>2139</v>
      </c>
      <c r="K1939" s="24"/>
    </row>
    <row r="1940" outlineLevel="1" spans="1:11">
      <c r="A1940" s="24"/>
      <c r="B1940" s="81" t="str">
        <f t="shared" si="51"/>
        <v>13D2</v>
      </c>
      <c r="C1940" s="69" t="s">
        <v>2140</v>
      </c>
      <c r="D1940" s="76" t="s">
        <v>89</v>
      </c>
      <c r="E1940" s="76">
        <v>0.1</v>
      </c>
      <c r="F1940" s="76" t="s">
        <v>44</v>
      </c>
      <c r="G1940" s="76"/>
      <c r="H1940" s="76"/>
      <c r="I1940" s="76" t="s">
        <v>38</v>
      </c>
      <c r="J1940" s="83" t="s">
        <v>2141</v>
      </c>
      <c r="K1940" s="24"/>
    </row>
    <row r="1941" outlineLevel="1" spans="1:11">
      <c r="A1941" s="24"/>
      <c r="B1941" s="81" t="str">
        <f t="shared" si="51"/>
        <v>13D3</v>
      </c>
      <c r="C1941" s="69" t="s">
        <v>2142</v>
      </c>
      <c r="D1941" s="76" t="s">
        <v>89</v>
      </c>
      <c r="E1941" s="76">
        <v>0.01</v>
      </c>
      <c r="F1941" s="76" t="s">
        <v>303</v>
      </c>
      <c r="G1941" s="76"/>
      <c r="H1941" s="76"/>
      <c r="I1941" s="76" t="s">
        <v>38</v>
      </c>
      <c r="J1941" s="83" t="s">
        <v>2143</v>
      </c>
      <c r="K1941" s="24"/>
    </row>
    <row r="1942" outlineLevel="1" spans="1:11">
      <c r="A1942" s="24"/>
      <c r="B1942" s="81" t="str">
        <f t="shared" si="51"/>
        <v>13D4</v>
      </c>
      <c r="C1942" s="69" t="s">
        <v>2144</v>
      </c>
      <c r="D1942" s="76" t="s">
        <v>89</v>
      </c>
      <c r="E1942" s="76">
        <v>0.1</v>
      </c>
      <c r="F1942" s="76" t="s">
        <v>44</v>
      </c>
      <c r="G1942" s="76"/>
      <c r="H1942" s="76"/>
      <c r="I1942" s="76" t="s">
        <v>38</v>
      </c>
      <c r="J1942" s="83" t="s">
        <v>2145</v>
      </c>
      <c r="K1942" s="24"/>
    </row>
    <row r="1943" outlineLevel="1" spans="1:11">
      <c r="A1943" s="24"/>
      <c r="B1943" s="81" t="str">
        <f t="shared" si="51"/>
        <v>13D5</v>
      </c>
      <c r="C1943" s="69" t="s">
        <v>2146</v>
      </c>
      <c r="D1943" s="76" t="s">
        <v>89</v>
      </c>
      <c r="E1943" s="76">
        <v>0.01</v>
      </c>
      <c r="F1943" s="76" t="s">
        <v>303</v>
      </c>
      <c r="G1943" s="76"/>
      <c r="H1943" s="76"/>
      <c r="I1943" s="76" t="s">
        <v>38</v>
      </c>
      <c r="J1943" s="83" t="s">
        <v>2147</v>
      </c>
      <c r="K1943" s="24"/>
    </row>
    <row r="1944" outlineLevel="1" spans="1:11">
      <c r="A1944" s="24"/>
      <c r="B1944" s="81" t="str">
        <f t="shared" si="51"/>
        <v>13D6</v>
      </c>
      <c r="C1944" s="69" t="s">
        <v>2148</v>
      </c>
      <c r="D1944" s="76" t="s">
        <v>89</v>
      </c>
      <c r="E1944" s="76">
        <v>0.1</v>
      </c>
      <c r="F1944" s="76" t="s">
        <v>44</v>
      </c>
      <c r="G1944" s="76"/>
      <c r="H1944" s="76"/>
      <c r="I1944" s="76" t="s">
        <v>38</v>
      </c>
      <c r="J1944" s="83" t="s">
        <v>2149</v>
      </c>
      <c r="K1944" s="24"/>
    </row>
    <row r="1945" outlineLevel="1" spans="1:11">
      <c r="A1945" s="24"/>
      <c r="B1945" s="81" t="str">
        <f t="shared" si="51"/>
        <v>13D7</v>
      </c>
      <c r="C1945" s="69" t="s">
        <v>2150</v>
      </c>
      <c r="D1945" s="76" t="s">
        <v>89</v>
      </c>
      <c r="E1945" s="76">
        <v>0.01</v>
      </c>
      <c r="F1945" s="76" t="s">
        <v>303</v>
      </c>
      <c r="G1945" s="76"/>
      <c r="H1945" s="76"/>
      <c r="I1945" s="76" t="s">
        <v>38</v>
      </c>
      <c r="J1945" s="83" t="s">
        <v>2151</v>
      </c>
      <c r="K1945" s="24"/>
    </row>
    <row r="1946" outlineLevel="1" spans="1:11">
      <c r="A1946" s="24"/>
      <c r="B1946" s="81" t="str">
        <f t="shared" si="51"/>
        <v>13D8</v>
      </c>
      <c r="C1946" s="69" t="s">
        <v>2152</v>
      </c>
      <c r="D1946" s="76" t="s">
        <v>89</v>
      </c>
      <c r="E1946" s="76">
        <v>0.1</v>
      </c>
      <c r="F1946" s="76" t="s">
        <v>44</v>
      </c>
      <c r="G1946" s="76"/>
      <c r="H1946" s="76"/>
      <c r="I1946" s="76" t="s">
        <v>38</v>
      </c>
      <c r="J1946" s="83" t="s">
        <v>2153</v>
      </c>
      <c r="K1946" s="24"/>
    </row>
    <row r="1947" outlineLevel="1" spans="1:11">
      <c r="A1947" s="24"/>
      <c r="B1947" s="81" t="str">
        <f t="shared" si="51"/>
        <v>13D9</v>
      </c>
      <c r="C1947" s="69" t="s">
        <v>2154</v>
      </c>
      <c r="D1947" s="76" t="s">
        <v>89</v>
      </c>
      <c r="E1947" s="76">
        <v>0.01</v>
      </c>
      <c r="F1947" s="76" t="s">
        <v>303</v>
      </c>
      <c r="G1947" s="76"/>
      <c r="H1947" s="76"/>
      <c r="I1947" s="76" t="s">
        <v>38</v>
      </c>
      <c r="J1947" s="83" t="s">
        <v>2155</v>
      </c>
      <c r="K1947" s="24"/>
    </row>
    <row r="1948" outlineLevel="1" spans="1:11">
      <c r="A1948" s="24"/>
      <c r="B1948" s="81" t="str">
        <f t="shared" si="51"/>
        <v>13DA</v>
      </c>
      <c r="C1948" s="69" t="s">
        <v>2156</v>
      </c>
      <c r="D1948" s="76" t="s">
        <v>89</v>
      </c>
      <c r="E1948" s="76">
        <v>0.1</v>
      </c>
      <c r="F1948" s="76" t="s">
        <v>44</v>
      </c>
      <c r="G1948" s="76"/>
      <c r="H1948" s="76"/>
      <c r="I1948" s="76" t="s">
        <v>38</v>
      </c>
      <c r="J1948" s="83" t="s">
        <v>2157</v>
      </c>
      <c r="K1948" s="24"/>
    </row>
    <row r="1949" outlineLevel="1" spans="1:11">
      <c r="A1949" s="24"/>
      <c r="B1949" s="81" t="str">
        <f t="shared" si="51"/>
        <v>13DB</v>
      </c>
      <c r="C1949" s="69" t="s">
        <v>2158</v>
      </c>
      <c r="D1949" s="76" t="s">
        <v>89</v>
      </c>
      <c r="E1949" s="76">
        <v>0.01</v>
      </c>
      <c r="F1949" s="76" t="s">
        <v>303</v>
      </c>
      <c r="G1949" s="76"/>
      <c r="H1949" s="76"/>
      <c r="I1949" s="76" t="s">
        <v>38</v>
      </c>
      <c r="J1949" s="83" t="s">
        <v>2159</v>
      </c>
      <c r="K1949" s="24"/>
    </row>
    <row r="1950" outlineLevel="1" spans="1:11">
      <c r="A1950" s="24"/>
      <c r="B1950" s="81" t="str">
        <f t="shared" si="51"/>
        <v>13DC</v>
      </c>
      <c r="C1950" s="69" t="s">
        <v>2160</v>
      </c>
      <c r="D1950" s="76" t="s">
        <v>89</v>
      </c>
      <c r="E1950" s="76">
        <v>0.1</v>
      </c>
      <c r="F1950" s="76" t="s">
        <v>44</v>
      </c>
      <c r="G1950" s="76"/>
      <c r="H1950" s="76"/>
      <c r="I1950" s="76" t="s">
        <v>38</v>
      </c>
      <c r="J1950" s="83" t="s">
        <v>2161</v>
      </c>
      <c r="K1950" s="24"/>
    </row>
    <row r="1951" outlineLevel="1" spans="1:11">
      <c r="A1951" s="24"/>
      <c r="B1951" s="81" t="str">
        <f t="shared" si="51"/>
        <v>13DD</v>
      </c>
      <c r="C1951" s="69" t="s">
        <v>2162</v>
      </c>
      <c r="D1951" s="76" t="s">
        <v>89</v>
      </c>
      <c r="E1951" s="76">
        <v>0.01</v>
      </c>
      <c r="F1951" s="76" t="s">
        <v>303</v>
      </c>
      <c r="G1951" s="76"/>
      <c r="H1951" s="76"/>
      <c r="I1951" s="76" t="s">
        <v>38</v>
      </c>
      <c r="J1951" s="83" t="s">
        <v>2163</v>
      </c>
      <c r="K1951" s="24"/>
    </row>
    <row r="1952" outlineLevel="1" spans="1:11">
      <c r="A1952" s="24"/>
      <c r="B1952" s="81" t="str">
        <f t="shared" si="51"/>
        <v>13DE</v>
      </c>
      <c r="C1952" s="69" t="s">
        <v>2164</v>
      </c>
      <c r="D1952" s="76" t="s">
        <v>89</v>
      </c>
      <c r="E1952" s="76">
        <v>0.1</v>
      </c>
      <c r="F1952" s="76" t="s">
        <v>44</v>
      </c>
      <c r="G1952" s="76"/>
      <c r="H1952" s="76"/>
      <c r="I1952" s="76" t="s">
        <v>38</v>
      </c>
      <c r="J1952" s="83" t="s">
        <v>2165</v>
      </c>
      <c r="K1952" s="24"/>
    </row>
    <row r="1953" outlineLevel="1" spans="1:11">
      <c r="A1953" s="24"/>
      <c r="B1953" s="81" t="str">
        <f t="shared" si="51"/>
        <v>13DF</v>
      </c>
      <c r="C1953" s="69" t="s">
        <v>2166</v>
      </c>
      <c r="D1953" s="76" t="s">
        <v>89</v>
      </c>
      <c r="E1953" s="76">
        <v>0.01</v>
      </c>
      <c r="F1953" s="76" t="s">
        <v>303</v>
      </c>
      <c r="G1953" s="76"/>
      <c r="H1953" s="76"/>
      <c r="I1953" s="76" t="s">
        <v>38</v>
      </c>
      <c r="J1953" s="83" t="s">
        <v>2167</v>
      </c>
      <c r="K1953" s="24"/>
    </row>
    <row r="1954" outlineLevel="1" spans="1:11">
      <c r="A1954" s="24"/>
      <c r="B1954" s="81" t="str">
        <f t="shared" si="51"/>
        <v>13E0</v>
      </c>
      <c r="C1954" s="69" t="s">
        <v>2168</v>
      </c>
      <c r="D1954" s="76" t="s">
        <v>89</v>
      </c>
      <c r="E1954" s="76">
        <v>0.1</v>
      </c>
      <c r="F1954" s="76" t="s">
        <v>44</v>
      </c>
      <c r="G1954" s="76"/>
      <c r="H1954" s="76"/>
      <c r="I1954" s="76" t="s">
        <v>38</v>
      </c>
      <c r="J1954" s="83" t="s">
        <v>2169</v>
      </c>
      <c r="K1954" s="24"/>
    </row>
    <row r="1955" outlineLevel="1" spans="1:11">
      <c r="A1955" s="24"/>
      <c r="B1955" s="81" t="str">
        <f t="shared" si="51"/>
        <v>13E1</v>
      </c>
      <c r="C1955" s="69" t="s">
        <v>2170</v>
      </c>
      <c r="D1955" s="76" t="s">
        <v>89</v>
      </c>
      <c r="E1955" s="76">
        <v>0.01</v>
      </c>
      <c r="F1955" s="76" t="s">
        <v>303</v>
      </c>
      <c r="G1955" s="76"/>
      <c r="H1955" s="76"/>
      <c r="I1955" s="76" t="s">
        <v>38</v>
      </c>
      <c r="J1955" s="83" t="s">
        <v>2171</v>
      </c>
      <c r="K1955" s="24"/>
    </row>
    <row r="1956" outlineLevel="1" spans="1:11">
      <c r="A1956" s="24"/>
      <c r="B1956" s="81" t="str">
        <f t="shared" si="51"/>
        <v>13E2</v>
      </c>
      <c r="C1956" s="69" t="s">
        <v>2172</v>
      </c>
      <c r="D1956" s="76" t="s">
        <v>89</v>
      </c>
      <c r="E1956" s="76">
        <v>0.1</v>
      </c>
      <c r="F1956" s="76" t="s">
        <v>44</v>
      </c>
      <c r="G1956" s="76"/>
      <c r="H1956" s="76"/>
      <c r="I1956" s="76" t="s">
        <v>38</v>
      </c>
      <c r="J1956" s="83" t="s">
        <v>2173</v>
      </c>
      <c r="K1956" s="24"/>
    </row>
    <row r="1957" outlineLevel="1" spans="1:11">
      <c r="A1957" s="24"/>
      <c r="B1957" s="81" t="str">
        <f t="shared" si="51"/>
        <v>13E3</v>
      </c>
      <c r="C1957" s="69" t="s">
        <v>2174</v>
      </c>
      <c r="D1957" s="76" t="s">
        <v>89</v>
      </c>
      <c r="E1957" s="76">
        <v>0.01</v>
      </c>
      <c r="F1957" s="76" t="s">
        <v>303</v>
      </c>
      <c r="G1957" s="76"/>
      <c r="H1957" s="76"/>
      <c r="I1957" s="76" t="s">
        <v>38</v>
      </c>
      <c r="J1957" s="83" t="s">
        <v>2175</v>
      </c>
      <c r="K1957" s="24"/>
    </row>
    <row r="1958" outlineLevel="1" spans="1:11">
      <c r="A1958" s="24"/>
      <c r="B1958" s="81" t="str">
        <f t="shared" si="51"/>
        <v>13E4</v>
      </c>
      <c r="C1958" s="69" t="s">
        <v>2176</v>
      </c>
      <c r="D1958" s="76" t="s">
        <v>89</v>
      </c>
      <c r="E1958" s="76">
        <v>0.1</v>
      </c>
      <c r="F1958" s="76" t="s">
        <v>44</v>
      </c>
      <c r="G1958" s="76"/>
      <c r="H1958" s="76"/>
      <c r="I1958" s="76" t="s">
        <v>38</v>
      </c>
      <c r="J1958" s="83" t="s">
        <v>2177</v>
      </c>
      <c r="K1958" s="24"/>
    </row>
    <row r="1959" outlineLevel="1" spans="1:11">
      <c r="A1959" s="24"/>
      <c r="B1959" s="81" t="str">
        <f t="shared" si="51"/>
        <v>13E5</v>
      </c>
      <c r="C1959" s="69" t="s">
        <v>2178</v>
      </c>
      <c r="D1959" s="76" t="s">
        <v>89</v>
      </c>
      <c r="E1959" s="76">
        <v>0.01</v>
      </c>
      <c r="F1959" s="76" t="s">
        <v>303</v>
      </c>
      <c r="G1959" s="76"/>
      <c r="H1959" s="76"/>
      <c r="I1959" s="76" t="s">
        <v>38</v>
      </c>
      <c r="J1959" s="83" t="s">
        <v>2179</v>
      </c>
      <c r="K1959" s="24"/>
    </row>
    <row r="1960" outlineLevel="1" spans="1:11">
      <c r="A1960" s="24"/>
      <c r="B1960" s="81" t="str">
        <f t="shared" si="51"/>
        <v>13E6</v>
      </c>
      <c r="C1960" s="69" t="s">
        <v>2180</v>
      </c>
      <c r="D1960" s="76" t="s">
        <v>89</v>
      </c>
      <c r="E1960" s="76">
        <v>0.1</v>
      </c>
      <c r="F1960" s="76" t="s">
        <v>44</v>
      </c>
      <c r="G1960" s="76"/>
      <c r="H1960" s="76"/>
      <c r="I1960" s="76" t="s">
        <v>38</v>
      </c>
      <c r="J1960" s="83" t="s">
        <v>2181</v>
      </c>
      <c r="K1960" s="24"/>
    </row>
    <row r="1961" outlineLevel="1" spans="1:11">
      <c r="A1961" s="24"/>
      <c r="B1961" s="81" t="str">
        <f t="shared" si="51"/>
        <v>13E7</v>
      </c>
      <c r="C1961" s="69" t="s">
        <v>2182</v>
      </c>
      <c r="D1961" s="76" t="s">
        <v>89</v>
      </c>
      <c r="E1961" s="76">
        <v>0.01</v>
      </c>
      <c r="F1961" s="76" t="s">
        <v>303</v>
      </c>
      <c r="G1961" s="76"/>
      <c r="H1961" s="76"/>
      <c r="I1961" s="76" t="s">
        <v>38</v>
      </c>
      <c r="J1961" s="83" t="s">
        <v>2183</v>
      </c>
      <c r="K1961" s="24"/>
    </row>
    <row r="1962" outlineLevel="1" spans="1:11">
      <c r="A1962" s="24"/>
      <c r="B1962" s="81" t="str">
        <f t="shared" si="51"/>
        <v>13E8</v>
      </c>
      <c r="C1962" s="69" t="s">
        <v>2184</v>
      </c>
      <c r="D1962" s="76" t="s">
        <v>89</v>
      </c>
      <c r="E1962" s="76">
        <v>0.1</v>
      </c>
      <c r="F1962" s="76" t="s">
        <v>44</v>
      </c>
      <c r="G1962" s="76"/>
      <c r="H1962" s="76"/>
      <c r="I1962" s="76" t="s">
        <v>38</v>
      </c>
      <c r="J1962" s="83" t="s">
        <v>2185</v>
      </c>
      <c r="K1962" s="24"/>
    </row>
    <row r="1963" outlineLevel="1" spans="1:11">
      <c r="A1963" s="24"/>
      <c r="B1963" s="81" t="str">
        <f t="shared" si="51"/>
        <v>13E9</v>
      </c>
      <c r="C1963" s="69" t="s">
        <v>2186</v>
      </c>
      <c r="D1963" s="76" t="s">
        <v>89</v>
      </c>
      <c r="E1963" s="76">
        <v>0.01</v>
      </c>
      <c r="F1963" s="76" t="s">
        <v>303</v>
      </c>
      <c r="G1963" s="76"/>
      <c r="H1963" s="76"/>
      <c r="I1963" s="76" t="s">
        <v>38</v>
      </c>
      <c r="J1963" s="83" t="s">
        <v>2187</v>
      </c>
      <c r="K1963" s="24"/>
    </row>
    <row r="1964" outlineLevel="1" spans="1:11">
      <c r="A1964" s="24"/>
      <c r="B1964" s="81" t="str">
        <f t="shared" si="51"/>
        <v>13EA</v>
      </c>
      <c r="C1964" s="69" t="s">
        <v>2188</v>
      </c>
      <c r="D1964" s="76" t="s">
        <v>89</v>
      </c>
      <c r="E1964" s="76">
        <v>0.1</v>
      </c>
      <c r="F1964" s="76" t="s">
        <v>44</v>
      </c>
      <c r="G1964" s="76"/>
      <c r="H1964" s="76"/>
      <c r="I1964" s="76" t="s">
        <v>38</v>
      </c>
      <c r="J1964" s="83" t="s">
        <v>2189</v>
      </c>
      <c r="K1964" s="24"/>
    </row>
    <row r="1965" outlineLevel="1" spans="1:11">
      <c r="A1965" s="24"/>
      <c r="B1965" s="81" t="str">
        <f t="shared" si="51"/>
        <v>13EB</v>
      </c>
      <c r="C1965" s="69" t="s">
        <v>2190</v>
      </c>
      <c r="D1965" s="76" t="s">
        <v>89</v>
      </c>
      <c r="E1965" s="76">
        <v>0.01</v>
      </c>
      <c r="F1965" s="76" t="s">
        <v>303</v>
      </c>
      <c r="G1965" s="76"/>
      <c r="H1965" s="76"/>
      <c r="I1965" s="76" t="s">
        <v>38</v>
      </c>
      <c r="J1965" s="83" t="s">
        <v>2191</v>
      </c>
      <c r="K1965" s="24"/>
    </row>
    <row r="1966" outlineLevel="1" spans="1:11">
      <c r="A1966" s="24"/>
      <c r="B1966" s="81" t="str">
        <f t="shared" si="51"/>
        <v>13EC</v>
      </c>
      <c r="C1966" s="69" t="s">
        <v>2192</v>
      </c>
      <c r="D1966" s="76" t="s">
        <v>89</v>
      </c>
      <c r="E1966" s="76">
        <v>0.1</v>
      </c>
      <c r="F1966" s="76" t="s">
        <v>44</v>
      </c>
      <c r="G1966" s="76"/>
      <c r="H1966" s="76"/>
      <c r="I1966" s="76" t="s">
        <v>38</v>
      </c>
      <c r="J1966" s="83" t="s">
        <v>2193</v>
      </c>
      <c r="K1966" s="24"/>
    </row>
    <row r="1967" outlineLevel="1" spans="1:11">
      <c r="A1967" s="24"/>
      <c r="B1967" s="81" t="str">
        <f t="shared" si="51"/>
        <v>13ED</v>
      </c>
      <c r="C1967" s="69" t="s">
        <v>2194</v>
      </c>
      <c r="D1967" s="76" t="s">
        <v>89</v>
      </c>
      <c r="E1967" s="76">
        <v>0.01</v>
      </c>
      <c r="F1967" s="76" t="s">
        <v>303</v>
      </c>
      <c r="G1967" s="76"/>
      <c r="H1967" s="76"/>
      <c r="I1967" s="76" t="s">
        <v>38</v>
      </c>
      <c r="J1967" s="83" t="s">
        <v>2195</v>
      </c>
      <c r="K1967" s="24"/>
    </row>
    <row r="1968" outlineLevel="1" spans="1:11">
      <c r="A1968" s="24"/>
      <c r="B1968" s="81" t="str">
        <f t="shared" si="51"/>
        <v>13EE</v>
      </c>
      <c r="C1968" s="69" t="s">
        <v>2196</v>
      </c>
      <c r="D1968" s="76" t="s">
        <v>89</v>
      </c>
      <c r="E1968" s="76">
        <v>0.1</v>
      </c>
      <c r="F1968" s="76" t="s">
        <v>44</v>
      </c>
      <c r="G1968" s="76"/>
      <c r="H1968" s="76"/>
      <c r="I1968" s="76" t="s">
        <v>38</v>
      </c>
      <c r="J1968" s="83" t="s">
        <v>2197</v>
      </c>
      <c r="K1968" s="24"/>
    </row>
    <row r="1969" outlineLevel="1" spans="1:11">
      <c r="A1969" s="24"/>
      <c r="B1969" s="81" t="str">
        <f t="shared" si="51"/>
        <v>13EF</v>
      </c>
      <c r="C1969" s="69" t="s">
        <v>2198</v>
      </c>
      <c r="D1969" s="76" t="s">
        <v>89</v>
      </c>
      <c r="E1969" s="76">
        <v>0.01</v>
      </c>
      <c r="F1969" s="76" t="s">
        <v>303</v>
      </c>
      <c r="G1969" s="76"/>
      <c r="H1969" s="76"/>
      <c r="I1969" s="76" t="s">
        <v>38</v>
      </c>
      <c r="J1969" s="83" t="s">
        <v>2199</v>
      </c>
      <c r="K1969" s="24"/>
    </row>
    <row r="1970" outlineLevel="1" spans="1:11">
      <c r="A1970" s="24"/>
      <c r="B1970" s="81" t="str">
        <f t="shared" si="51"/>
        <v>13F0</v>
      </c>
      <c r="C1970" s="69" t="s">
        <v>2200</v>
      </c>
      <c r="D1970" s="76" t="s">
        <v>89</v>
      </c>
      <c r="E1970" s="76">
        <v>0.1</v>
      </c>
      <c r="F1970" s="76" t="s">
        <v>44</v>
      </c>
      <c r="G1970" s="76"/>
      <c r="H1970" s="76"/>
      <c r="I1970" s="76" t="s">
        <v>38</v>
      </c>
      <c r="J1970" s="83" t="s">
        <v>2201</v>
      </c>
      <c r="K1970" s="24"/>
    </row>
    <row r="1971" outlineLevel="1" spans="1:11">
      <c r="A1971" s="24"/>
      <c r="B1971" s="81" t="str">
        <f t="shared" si="51"/>
        <v>13F1</v>
      </c>
      <c r="C1971" s="69" t="s">
        <v>2202</v>
      </c>
      <c r="D1971" s="76" t="s">
        <v>89</v>
      </c>
      <c r="E1971" s="76">
        <v>0.01</v>
      </c>
      <c r="F1971" s="76" t="s">
        <v>303</v>
      </c>
      <c r="G1971" s="76"/>
      <c r="H1971" s="76"/>
      <c r="I1971" s="76" t="s">
        <v>38</v>
      </c>
      <c r="J1971" s="83" t="s">
        <v>2203</v>
      </c>
      <c r="K1971" s="24"/>
    </row>
    <row r="1972" outlineLevel="1" spans="1:11">
      <c r="A1972" s="24"/>
      <c r="B1972" s="81" t="str">
        <f t="shared" si="51"/>
        <v>13F2</v>
      </c>
      <c r="C1972" s="69" t="s">
        <v>2204</v>
      </c>
      <c r="D1972" s="76" t="s">
        <v>89</v>
      </c>
      <c r="E1972" s="76">
        <v>0.1</v>
      </c>
      <c r="F1972" s="76" t="s">
        <v>44</v>
      </c>
      <c r="G1972" s="76"/>
      <c r="H1972" s="76"/>
      <c r="I1972" s="76" t="s">
        <v>38</v>
      </c>
      <c r="J1972" s="83" t="s">
        <v>2205</v>
      </c>
      <c r="K1972" s="24"/>
    </row>
    <row r="1973" outlineLevel="1" spans="1:11">
      <c r="A1973" s="24"/>
      <c r="B1973" s="81" t="str">
        <f t="shared" si="51"/>
        <v>13F3</v>
      </c>
      <c r="C1973" s="69" t="s">
        <v>2206</v>
      </c>
      <c r="D1973" s="76" t="s">
        <v>89</v>
      </c>
      <c r="E1973" s="76">
        <v>0.01</v>
      </c>
      <c r="F1973" s="76" t="s">
        <v>303</v>
      </c>
      <c r="G1973" s="76"/>
      <c r="H1973" s="76"/>
      <c r="I1973" s="76" t="s">
        <v>38</v>
      </c>
      <c r="J1973" s="83" t="s">
        <v>2207</v>
      </c>
      <c r="K1973" s="24"/>
    </row>
    <row r="1974" outlineLevel="1" spans="1:11">
      <c r="A1974" s="24"/>
      <c r="B1974" s="81" t="str">
        <f t="shared" si="51"/>
        <v>13F4</v>
      </c>
      <c r="C1974" s="69" t="s">
        <v>2208</v>
      </c>
      <c r="D1974" s="76" t="s">
        <v>89</v>
      </c>
      <c r="E1974" s="76">
        <v>0.1</v>
      </c>
      <c r="F1974" s="76" t="s">
        <v>44</v>
      </c>
      <c r="G1974" s="76"/>
      <c r="H1974" s="76"/>
      <c r="I1974" s="76" t="s">
        <v>38</v>
      </c>
      <c r="J1974" s="83" t="s">
        <v>2209</v>
      </c>
      <c r="K1974" s="24"/>
    </row>
    <row r="1975" outlineLevel="1" spans="1:11">
      <c r="A1975" s="24"/>
      <c r="B1975" s="81" t="str">
        <f t="shared" si="51"/>
        <v>13F5</v>
      </c>
      <c r="C1975" s="69" t="s">
        <v>2210</v>
      </c>
      <c r="D1975" s="76" t="s">
        <v>89</v>
      </c>
      <c r="E1975" s="76">
        <v>0.01</v>
      </c>
      <c r="F1975" s="76" t="s">
        <v>303</v>
      </c>
      <c r="G1975" s="76"/>
      <c r="H1975" s="76"/>
      <c r="I1975" s="76" t="s">
        <v>38</v>
      </c>
      <c r="J1975" s="83" t="s">
        <v>2211</v>
      </c>
      <c r="K1975" s="24"/>
    </row>
    <row r="1976" outlineLevel="1" spans="1:11">
      <c r="A1976" s="24"/>
      <c r="B1976" s="81" t="str">
        <f t="shared" si="51"/>
        <v>13F6</v>
      </c>
      <c r="C1976" s="69" t="s">
        <v>2212</v>
      </c>
      <c r="D1976" s="76" t="s">
        <v>89</v>
      </c>
      <c r="E1976" s="76">
        <v>0.1</v>
      </c>
      <c r="F1976" s="76" t="s">
        <v>44</v>
      </c>
      <c r="G1976" s="76"/>
      <c r="H1976" s="76"/>
      <c r="I1976" s="76" t="s">
        <v>38</v>
      </c>
      <c r="J1976" s="83" t="s">
        <v>2213</v>
      </c>
      <c r="K1976" s="24"/>
    </row>
    <row r="1977" outlineLevel="1" spans="1:11">
      <c r="A1977" s="24"/>
      <c r="B1977" s="81" t="str">
        <f t="shared" si="51"/>
        <v>13F7</v>
      </c>
      <c r="C1977" s="69" t="s">
        <v>2214</v>
      </c>
      <c r="D1977" s="76" t="s">
        <v>89</v>
      </c>
      <c r="E1977" s="76">
        <v>0.01</v>
      </c>
      <c r="F1977" s="76" t="s">
        <v>303</v>
      </c>
      <c r="G1977" s="76"/>
      <c r="H1977" s="76"/>
      <c r="I1977" s="76" t="s">
        <v>38</v>
      </c>
      <c r="J1977" s="83" t="s">
        <v>2215</v>
      </c>
      <c r="K1977" s="24"/>
    </row>
    <row r="1978" outlineLevel="1" spans="1:11">
      <c r="A1978" s="24"/>
      <c r="B1978" s="81" t="str">
        <f t="shared" si="51"/>
        <v>13F8</v>
      </c>
      <c r="C1978" s="69" t="s">
        <v>2216</v>
      </c>
      <c r="D1978" s="76" t="s">
        <v>89</v>
      </c>
      <c r="E1978" s="76">
        <v>0.1</v>
      </c>
      <c r="F1978" s="76" t="s">
        <v>44</v>
      </c>
      <c r="G1978" s="76"/>
      <c r="H1978" s="76"/>
      <c r="I1978" s="76" t="s">
        <v>38</v>
      </c>
      <c r="J1978" s="83" t="s">
        <v>2217</v>
      </c>
      <c r="K1978" s="24"/>
    </row>
    <row r="1979" outlineLevel="1" spans="1:11">
      <c r="A1979" s="24"/>
      <c r="B1979" s="81" t="str">
        <f t="shared" si="51"/>
        <v>13F9</v>
      </c>
      <c r="C1979" s="69" t="s">
        <v>2218</v>
      </c>
      <c r="D1979" s="76" t="s">
        <v>89</v>
      </c>
      <c r="E1979" s="76">
        <v>0.01</v>
      </c>
      <c r="F1979" s="76" t="s">
        <v>303</v>
      </c>
      <c r="G1979" s="76"/>
      <c r="H1979" s="76"/>
      <c r="I1979" s="76" t="s">
        <v>38</v>
      </c>
      <c r="J1979" s="83" t="s">
        <v>2219</v>
      </c>
      <c r="K1979" s="24"/>
    </row>
    <row r="1980" outlineLevel="1" spans="1:11">
      <c r="A1980" s="24"/>
      <c r="B1980" s="81" t="str">
        <f t="shared" si="51"/>
        <v>13FA</v>
      </c>
      <c r="C1980" s="69" t="s">
        <v>2220</v>
      </c>
      <c r="D1980" s="76" t="s">
        <v>89</v>
      </c>
      <c r="E1980" s="76">
        <v>0.1</v>
      </c>
      <c r="F1980" s="76" t="s">
        <v>44</v>
      </c>
      <c r="G1980" s="76"/>
      <c r="H1980" s="76"/>
      <c r="I1980" s="76" t="s">
        <v>38</v>
      </c>
      <c r="J1980" s="83" t="s">
        <v>2221</v>
      </c>
      <c r="K1980" s="24"/>
    </row>
    <row r="1981" outlineLevel="1" spans="1:11">
      <c r="A1981" s="24"/>
      <c r="B1981" s="81" t="str">
        <f t="shared" si="51"/>
        <v>13FB</v>
      </c>
      <c r="C1981" s="69" t="s">
        <v>2222</v>
      </c>
      <c r="D1981" s="76" t="s">
        <v>89</v>
      </c>
      <c r="E1981" s="76">
        <v>0.01</v>
      </c>
      <c r="F1981" s="76" t="s">
        <v>303</v>
      </c>
      <c r="G1981" s="76"/>
      <c r="H1981" s="76"/>
      <c r="I1981" s="76" t="s">
        <v>38</v>
      </c>
      <c r="J1981" s="83" t="s">
        <v>2223</v>
      </c>
      <c r="K1981" s="24"/>
    </row>
    <row r="1982" outlineLevel="1" spans="1:11">
      <c r="A1982" s="24"/>
      <c r="B1982" s="81" t="str">
        <f t="shared" si="51"/>
        <v>13FC</v>
      </c>
      <c r="C1982" s="69" t="s">
        <v>2224</v>
      </c>
      <c r="D1982" s="76" t="s">
        <v>89</v>
      </c>
      <c r="E1982" s="76">
        <v>0.1</v>
      </c>
      <c r="F1982" s="76" t="s">
        <v>44</v>
      </c>
      <c r="G1982" s="76"/>
      <c r="H1982" s="76"/>
      <c r="I1982" s="76" t="s">
        <v>38</v>
      </c>
      <c r="J1982" s="83" t="s">
        <v>2225</v>
      </c>
      <c r="K1982" s="24"/>
    </row>
    <row r="1983" outlineLevel="1" spans="1:11">
      <c r="A1983" s="24"/>
      <c r="B1983" s="81" t="str">
        <f t="shared" si="51"/>
        <v>13FD</v>
      </c>
      <c r="C1983" s="69" t="s">
        <v>2226</v>
      </c>
      <c r="D1983" s="76" t="s">
        <v>89</v>
      </c>
      <c r="E1983" s="76">
        <v>0.01</v>
      </c>
      <c r="F1983" s="76" t="s">
        <v>303</v>
      </c>
      <c r="G1983" s="76"/>
      <c r="H1983" s="76"/>
      <c r="I1983" s="76" t="s">
        <v>38</v>
      </c>
      <c r="J1983" s="83" t="s">
        <v>2227</v>
      </c>
      <c r="K1983" s="24"/>
    </row>
    <row r="1984" outlineLevel="1" spans="1:11">
      <c r="A1984" s="24"/>
      <c r="B1984" s="81" t="str">
        <f t="shared" si="51"/>
        <v>13FE</v>
      </c>
      <c r="C1984" s="69" t="s">
        <v>2228</v>
      </c>
      <c r="D1984" s="76" t="s">
        <v>89</v>
      </c>
      <c r="E1984" s="76">
        <v>0.1</v>
      </c>
      <c r="F1984" s="76" t="s">
        <v>44</v>
      </c>
      <c r="G1984" s="76"/>
      <c r="H1984" s="76"/>
      <c r="I1984" s="76" t="s">
        <v>38</v>
      </c>
      <c r="J1984" s="83" t="s">
        <v>2229</v>
      </c>
      <c r="K1984" s="24"/>
    </row>
    <row r="1985" outlineLevel="1" spans="1:11">
      <c r="A1985" s="24"/>
      <c r="B1985" s="81" t="str">
        <f t="shared" si="51"/>
        <v>13FF</v>
      </c>
      <c r="C1985" s="69" t="s">
        <v>2230</v>
      </c>
      <c r="D1985" s="76" t="s">
        <v>89</v>
      </c>
      <c r="E1985" s="76">
        <v>0.01</v>
      </c>
      <c r="F1985" s="76" t="s">
        <v>303</v>
      </c>
      <c r="G1985" s="76"/>
      <c r="H1985" s="76"/>
      <c r="I1985" s="76" t="s">
        <v>38</v>
      </c>
      <c r="J1985" s="83" t="s">
        <v>2231</v>
      </c>
      <c r="K1985" s="24"/>
    </row>
    <row r="1986" outlineLevel="1" spans="1:11">
      <c r="A1986" s="24"/>
      <c r="B1986" s="81" t="str">
        <f t="shared" si="51"/>
        <v>1400</v>
      </c>
      <c r="C1986" s="63" t="s">
        <v>2232</v>
      </c>
      <c r="D1986" s="59" t="s">
        <v>59</v>
      </c>
      <c r="E1986" s="59"/>
      <c r="F1986" s="59"/>
      <c r="G1986" s="59"/>
      <c r="H1986" s="59"/>
      <c r="I1986" s="59" t="s">
        <v>38</v>
      </c>
      <c r="J1986" s="63" t="s">
        <v>279</v>
      </c>
      <c r="K1986" s="24"/>
    </row>
    <row r="1987" outlineLevel="1" spans="1:11">
      <c r="A1987" s="24"/>
      <c r="B1987" s="81" t="str">
        <f t="shared" si="51"/>
        <v>1401</v>
      </c>
      <c r="C1987" s="63"/>
      <c r="D1987" s="59"/>
      <c r="E1987" s="59"/>
      <c r="F1987" s="59"/>
      <c r="G1987" s="59"/>
      <c r="H1987" s="59"/>
      <c r="I1987" s="59"/>
      <c r="J1987" s="63"/>
      <c r="K1987" s="24"/>
    </row>
    <row r="1988" outlineLevel="1" spans="1:11">
      <c r="A1988" s="24"/>
      <c r="B1988" s="81" t="str">
        <f t="shared" si="51"/>
        <v>1402</v>
      </c>
      <c r="C1988" s="63"/>
      <c r="D1988" s="59"/>
      <c r="E1988" s="59"/>
      <c r="F1988" s="59"/>
      <c r="G1988" s="59"/>
      <c r="H1988" s="59"/>
      <c r="I1988" s="59"/>
      <c r="J1988" s="63"/>
      <c r="K1988" s="24"/>
    </row>
    <row r="1989" ht="73" customHeight="1" outlineLevel="1" spans="1:11">
      <c r="A1989" s="24"/>
      <c r="B1989" s="81" t="str">
        <f t="shared" si="51"/>
        <v>1403</v>
      </c>
      <c r="C1989" s="63"/>
      <c r="D1989" s="59"/>
      <c r="E1989" s="59"/>
      <c r="F1989" s="59"/>
      <c r="G1989" s="59"/>
      <c r="H1989" s="59"/>
      <c r="I1989" s="59"/>
      <c r="J1989" s="63"/>
      <c r="K1989" s="24"/>
    </row>
    <row r="1990" outlineLevel="1" spans="1:11">
      <c r="A1990" s="24"/>
      <c r="B1990" s="81" t="str">
        <f t="shared" si="51"/>
        <v>1404</v>
      </c>
      <c r="C1990" s="69" t="s">
        <v>2233</v>
      </c>
      <c r="D1990" s="76" t="s">
        <v>89</v>
      </c>
      <c r="E1990" s="76">
        <v>0.1</v>
      </c>
      <c r="F1990" s="76" t="s">
        <v>44</v>
      </c>
      <c r="G1990" s="76"/>
      <c r="H1990" s="76"/>
      <c r="I1990" s="76" t="s">
        <v>38</v>
      </c>
      <c r="J1990" s="83" t="s">
        <v>2234</v>
      </c>
      <c r="K1990" s="24"/>
    </row>
    <row r="1991" outlineLevel="1" spans="1:11">
      <c r="A1991" s="24"/>
      <c r="B1991" s="81" t="str">
        <f t="shared" si="51"/>
        <v>1405</v>
      </c>
      <c r="C1991" s="69" t="s">
        <v>2235</v>
      </c>
      <c r="D1991" s="76" t="s">
        <v>89</v>
      </c>
      <c r="E1991" s="76">
        <v>0.01</v>
      </c>
      <c r="F1991" s="76" t="s">
        <v>303</v>
      </c>
      <c r="G1991" s="76"/>
      <c r="H1991" s="76"/>
      <c r="I1991" s="76" t="s">
        <v>38</v>
      </c>
      <c r="J1991" s="83" t="s">
        <v>2236</v>
      </c>
      <c r="K1991" s="24"/>
    </row>
    <row r="1992" outlineLevel="1" spans="1:11">
      <c r="A1992" s="24"/>
      <c r="B1992" s="81" t="str">
        <f t="shared" si="51"/>
        <v>1406</v>
      </c>
      <c r="C1992" s="69" t="s">
        <v>2237</v>
      </c>
      <c r="D1992" s="76" t="s">
        <v>89</v>
      </c>
      <c r="E1992" s="76">
        <v>0.1</v>
      </c>
      <c r="F1992" s="76" t="s">
        <v>44</v>
      </c>
      <c r="G1992" s="76"/>
      <c r="H1992" s="76"/>
      <c r="I1992" s="76" t="s">
        <v>38</v>
      </c>
      <c r="J1992" s="83" t="s">
        <v>2238</v>
      </c>
      <c r="K1992" s="24"/>
    </row>
    <row r="1993" outlineLevel="1" spans="1:11">
      <c r="A1993" s="24"/>
      <c r="B1993" s="81" t="str">
        <f t="shared" si="51"/>
        <v>1407</v>
      </c>
      <c r="C1993" s="69" t="s">
        <v>2239</v>
      </c>
      <c r="D1993" s="76" t="s">
        <v>89</v>
      </c>
      <c r="E1993" s="76">
        <v>0.01</v>
      </c>
      <c r="F1993" s="76" t="s">
        <v>303</v>
      </c>
      <c r="G1993" s="76"/>
      <c r="H1993" s="76"/>
      <c r="I1993" s="76" t="s">
        <v>38</v>
      </c>
      <c r="J1993" s="83" t="s">
        <v>2240</v>
      </c>
      <c r="K1993" s="24"/>
    </row>
    <row r="1994" outlineLevel="1" spans="1:11">
      <c r="A1994" s="24"/>
      <c r="B1994" s="81" t="str">
        <f t="shared" si="51"/>
        <v>1408</v>
      </c>
      <c r="C1994" s="69" t="s">
        <v>2241</v>
      </c>
      <c r="D1994" s="76" t="s">
        <v>89</v>
      </c>
      <c r="E1994" s="76">
        <v>0.1</v>
      </c>
      <c r="F1994" s="76" t="s">
        <v>44</v>
      </c>
      <c r="G1994" s="76"/>
      <c r="H1994" s="76"/>
      <c r="I1994" s="76" t="s">
        <v>38</v>
      </c>
      <c r="J1994" s="83" t="s">
        <v>2242</v>
      </c>
      <c r="K1994" s="24"/>
    </row>
    <row r="1995" outlineLevel="1" spans="1:11">
      <c r="A1995" s="24"/>
      <c r="B1995" s="81" t="str">
        <f t="shared" si="51"/>
        <v>1409</v>
      </c>
      <c r="C1995" s="69" t="s">
        <v>2243</v>
      </c>
      <c r="D1995" s="76" t="s">
        <v>89</v>
      </c>
      <c r="E1995" s="76">
        <v>0.01</v>
      </c>
      <c r="F1995" s="76" t="s">
        <v>303</v>
      </c>
      <c r="G1995" s="76"/>
      <c r="H1995" s="76"/>
      <c r="I1995" s="76" t="s">
        <v>38</v>
      </c>
      <c r="J1995" s="83" t="s">
        <v>2244</v>
      </c>
      <c r="K1995" s="24"/>
    </row>
    <row r="1996" outlineLevel="1" spans="1:11">
      <c r="A1996" s="24"/>
      <c r="B1996" s="81" t="str">
        <f t="shared" si="51"/>
        <v>140A</v>
      </c>
      <c r="C1996" s="69" t="s">
        <v>2245</v>
      </c>
      <c r="D1996" s="76" t="s">
        <v>89</v>
      </c>
      <c r="E1996" s="76">
        <v>0.1</v>
      </c>
      <c r="F1996" s="76" t="s">
        <v>44</v>
      </c>
      <c r="G1996" s="76"/>
      <c r="H1996" s="76"/>
      <c r="I1996" s="76" t="s">
        <v>38</v>
      </c>
      <c r="J1996" s="83" t="s">
        <v>2246</v>
      </c>
      <c r="K1996" s="24"/>
    </row>
    <row r="1997" outlineLevel="1" spans="1:11">
      <c r="A1997" s="24"/>
      <c r="B1997" s="81" t="str">
        <f t="shared" si="51"/>
        <v>140B</v>
      </c>
      <c r="C1997" s="69" t="s">
        <v>2247</v>
      </c>
      <c r="D1997" s="76" t="s">
        <v>89</v>
      </c>
      <c r="E1997" s="76">
        <v>0.01</v>
      </c>
      <c r="F1997" s="76" t="s">
        <v>303</v>
      </c>
      <c r="G1997" s="76"/>
      <c r="H1997" s="76"/>
      <c r="I1997" s="76" t="s">
        <v>38</v>
      </c>
      <c r="J1997" s="83" t="s">
        <v>2248</v>
      </c>
      <c r="K1997" s="24"/>
    </row>
    <row r="1998" outlineLevel="1" spans="1:11">
      <c r="A1998" s="24"/>
      <c r="B1998" s="81" t="str">
        <f t="shared" si="51"/>
        <v>140C</v>
      </c>
      <c r="C1998" s="69" t="s">
        <v>2249</v>
      </c>
      <c r="D1998" s="76" t="s">
        <v>89</v>
      </c>
      <c r="E1998" s="76">
        <v>0.1</v>
      </c>
      <c r="F1998" s="76" t="s">
        <v>44</v>
      </c>
      <c r="G1998" s="76"/>
      <c r="H1998" s="76"/>
      <c r="I1998" s="76" t="s">
        <v>38</v>
      </c>
      <c r="J1998" s="83" t="s">
        <v>2250</v>
      </c>
      <c r="K1998" s="24"/>
    </row>
    <row r="1999" outlineLevel="1" spans="1:11">
      <c r="A1999" s="24"/>
      <c r="B1999" s="81" t="str">
        <f t="shared" ref="B1999:B2066" si="52">DEC2HEX(4928+ROW()-ROW($B$1794),4)</f>
        <v>140D</v>
      </c>
      <c r="C1999" s="69" t="s">
        <v>2251</v>
      </c>
      <c r="D1999" s="76" t="s">
        <v>89</v>
      </c>
      <c r="E1999" s="76">
        <v>0.01</v>
      </c>
      <c r="F1999" s="76" t="s">
        <v>303</v>
      </c>
      <c r="G1999" s="76"/>
      <c r="H1999" s="76"/>
      <c r="I1999" s="76" t="s">
        <v>38</v>
      </c>
      <c r="J1999" s="83" t="s">
        <v>2252</v>
      </c>
      <c r="K1999" s="24"/>
    </row>
    <row r="2000" outlineLevel="1" spans="1:11">
      <c r="A2000" s="24"/>
      <c r="B2000" s="81" t="str">
        <f t="shared" si="52"/>
        <v>140E</v>
      </c>
      <c r="C2000" s="69" t="s">
        <v>2253</v>
      </c>
      <c r="D2000" s="76" t="s">
        <v>89</v>
      </c>
      <c r="E2000" s="76">
        <v>0.1</v>
      </c>
      <c r="F2000" s="76" t="s">
        <v>44</v>
      </c>
      <c r="G2000" s="76"/>
      <c r="H2000" s="76"/>
      <c r="I2000" s="76" t="s">
        <v>38</v>
      </c>
      <c r="J2000" s="83" t="s">
        <v>2254</v>
      </c>
      <c r="K2000" s="24"/>
    </row>
    <row r="2001" outlineLevel="1" spans="1:11">
      <c r="A2001" s="24"/>
      <c r="B2001" s="81" t="str">
        <f t="shared" si="52"/>
        <v>140F</v>
      </c>
      <c r="C2001" s="69" t="s">
        <v>2255</v>
      </c>
      <c r="D2001" s="76" t="s">
        <v>89</v>
      </c>
      <c r="E2001" s="76">
        <v>0.01</v>
      </c>
      <c r="F2001" s="76" t="s">
        <v>303</v>
      </c>
      <c r="G2001" s="76"/>
      <c r="H2001" s="76"/>
      <c r="I2001" s="76" t="s">
        <v>38</v>
      </c>
      <c r="J2001" s="83" t="s">
        <v>2256</v>
      </c>
      <c r="K2001" s="24"/>
    </row>
    <row r="2002" outlineLevel="1" spans="1:11">
      <c r="A2002" s="24"/>
      <c r="B2002" s="81" t="str">
        <f t="shared" si="52"/>
        <v>1410</v>
      </c>
      <c r="C2002" s="69" t="s">
        <v>2257</v>
      </c>
      <c r="D2002" s="76" t="s">
        <v>89</v>
      </c>
      <c r="E2002" s="76">
        <v>0.1</v>
      </c>
      <c r="F2002" s="76" t="s">
        <v>44</v>
      </c>
      <c r="G2002" s="76"/>
      <c r="H2002" s="76"/>
      <c r="I2002" s="76" t="s">
        <v>38</v>
      </c>
      <c r="J2002" s="83" t="s">
        <v>2258</v>
      </c>
      <c r="K2002" s="24"/>
    </row>
    <row r="2003" outlineLevel="1" spans="1:11">
      <c r="A2003" s="24"/>
      <c r="B2003" s="81" t="str">
        <f t="shared" si="52"/>
        <v>1411</v>
      </c>
      <c r="C2003" s="69" t="s">
        <v>2259</v>
      </c>
      <c r="D2003" s="76" t="s">
        <v>89</v>
      </c>
      <c r="E2003" s="76">
        <v>0.01</v>
      </c>
      <c r="F2003" s="76" t="s">
        <v>303</v>
      </c>
      <c r="G2003" s="76"/>
      <c r="H2003" s="76"/>
      <c r="I2003" s="76" t="s">
        <v>38</v>
      </c>
      <c r="J2003" s="83" t="s">
        <v>2260</v>
      </c>
      <c r="K2003" s="24"/>
    </row>
    <row r="2004" outlineLevel="1" spans="1:11">
      <c r="A2004" s="24"/>
      <c r="B2004" s="81" t="str">
        <f t="shared" si="52"/>
        <v>1412</v>
      </c>
      <c r="C2004" s="69" t="s">
        <v>2261</v>
      </c>
      <c r="D2004" s="76" t="s">
        <v>89</v>
      </c>
      <c r="E2004" s="76">
        <v>0.1</v>
      </c>
      <c r="F2004" s="76" t="s">
        <v>44</v>
      </c>
      <c r="G2004" s="76"/>
      <c r="H2004" s="76"/>
      <c r="I2004" s="76" t="s">
        <v>38</v>
      </c>
      <c r="J2004" s="83" t="s">
        <v>2262</v>
      </c>
      <c r="K2004" s="24"/>
    </row>
    <row r="2005" outlineLevel="1" spans="1:11">
      <c r="A2005" s="24"/>
      <c r="B2005" s="81" t="str">
        <f t="shared" si="52"/>
        <v>1413</v>
      </c>
      <c r="C2005" s="69" t="s">
        <v>2263</v>
      </c>
      <c r="D2005" s="76" t="s">
        <v>89</v>
      </c>
      <c r="E2005" s="76">
        <v>0.01</v>
      </c>
      <c r="F2005" s="76" t="s">
        <v>303</v>
      </c>
      <c r="G2005" s="76"/>
      <c r="H2005" s="76"/>
      <c r="I2005" s="76" t="s">
        <v>38</v>
      </c>
      <c r="J2005" s="83" t="s">
        <v>2264</v>
      </c>
      <c r="K2005" s="24"/>
    </row>
    <row r="2006" outlineLevel="1" spans="1:11">
      <c r="A2006" s="24"/>
      <c r="B2006" s="81" t="str">
        <f t="shared" si="52"/>
        <v>1414</v>
      </c>
      <c r="C2006" s="69" t="s">
        <v>2265</v>
      </c>
      <c r="D2006" s="76" t="s">
        <v>89</v>
      </c>
      <c r="E2006" s="76">
        <v>0.1</v>
      </c>
      <c r="F2006" s="76" t="s">
        <v>44</v>
      </c>
      <c r="G2006" s="76"/>
      <c r="H2006" s="76"/>
      <c r="I2006" s="76" t="s">
        <v>38</v>
      </c>
      <c r="J2006" s="83" t="s">
        <v>2266</v>
      </c>
      <c r="K2006" s="24"/>
    </row>
    <row r="2007" outlineLevel="1" spans="1:11">
      <c r="A2007" s="24"/>
      <c r="B2007" s="81" t="str">
        <f t="shared" si="52"/>
        <v>1415</v>
      </c>
      <c r="C2007" s="69" t="s">
        <v>2267</v>
      </c>
      <c r="D2007" s="76" t="s">
        <v>89</v>
      </c>
      <c r="E2007" s="76">
        <v>0.01</v>
      </c>
      <c r="F2007" s="76" t="s">
        <v>303</v>
      </c>
      <c r="G2007" s="76"/>
      <c r="H2007" s="76"/>
      <c r="I2007" s="76" t="s">
        <v>38</v>
      </c>
      <c r="J2007" s="83" t="s">
        <v>2268</v>
      </c>
      <c r="K2007" s="24"/>
    </row>
    <row r="2008" outlineLevel="1" spans="1:11">
      <c r="A2008" s="24"/>
      <c r="B2008" s="81" t="str">
        <f t="shared" si="52"/>
        <v>1416</v>
      </c>
      <c r="C2008" s="69" t="s">
        <v>2269</v>
      </c>
      <c r="D2008" s="76" t="s">
        <v>89</v>
      </c>
      <c r="E2008" s="76">
        <v>0.1</v>
      </c>
      <c r="F2008" s="76" t="s">
        <v>44</v>
      </c>
      <c r="G2008" s="76"/>
      <c r="H2008" s="76"/>
      <c r="I2008" s="76" t="s">
        <v>38</v>
      </c>
      <c r="J2008" s="83" t="s">
        <v>2270</v>
      </c>
      <c r="K2008" s="24"/>
    </row>
    <row r="2009" outlineLevel="1" spans="1:11">
      <c r="A2009" s="24"/>
      <c r="B2009" s="81" t="str">
        <f t="shared" si="52"/>
        <v>1417</v>
      </c>
      <c r="C2009" s="69" t="s">
        <v>2271</v>
      </c>
      <c r="D2009" s="76" t="s">
        <v>89</v>
      </c>
      <c r="E2009" s="76">
        <v>0.01</v>
      </c>
      <c r="F2009" s="76" t="s">
        <v>303</v>
      </c>
      <c r="G2009" s="76"/>
      <c r="H2009" s="76"/>
      <c r="I2009" s="76" t="s">
        <v>38</v>
      </c>
      <c r="J2009" s="83" t="s">
        <v>2272</v>
      </c>
      <c r="K2009" s="24"/>
    </row>
    <row r="2010" outlineLevel="1" spans="1:11">
      <c r="A2010" s="24"/>
      <c r="B2010" s="81" t="str">
        <f t="shared" si="52"/>
        <v>1418</v>
      </c>
      <c r="C2010" s="69" t="s">
        <v>2273</v>
      </c>
      <c r="D2010" s="76" t="s">
        <v>89</v>
      </c>
      <c r="E2010" s="76">
        <v>0.1</v>
      </c>
      <c r="F2010" s="76" t="s">
        <v>44</v>
      </c>
      <c r="G2010" s="76"/>
      <c r="H2010" s="76"/>
      <c r="I2010" s="76" t="s">
        <v>38</v>
      </c>
      <c r="J2010" s="83" t="s">
        <v>2274</v>
      </c>
      <c r="K2010" s="24"/>
    </row>
    <row r="2011" outlineLevel="1" spans="1:11">
      <c r="A2011" s="24"/>
      <c r="B2011" s="81" t="str">
        <f t="shared" si="52"/>
        <v>1419</v>
      </c>
      <c r="C2011" s="69" t="s">
        <v>2275</v>
      </c>
      <c r="D2011" s="76" t="s">
        <v>89</v>
      </c>
      <c r="E2011" s="76">
        <v>0.01</v>
      </c>
      <c r="F2011" s="76" t="s">
        <v>303</v>
      </c>
      <c r="G2011" s="76"/>
      <c r="H2011" s="76"/>
      <c r="I2011" s="76" t="s">
        <v>38</v>
      </c>
      <c r="J2011" s="83" t="s">
        <v>2276</v>
      </c>
      <c r="K2011" s="24"/>
    </row>
    <row r="2012" outlineLevel="1" spans="1:11">
      <c r="A2012" s="24"/>
      <c r="B2012" s="81" t="str">
        <f t="shared" si="52"/>
        <v>141A</v>
      </c>
      <c r="C2012" s="69" t="s">
        <v>2277</v>
      </c>
      <c r="D2012" s="76" t="s">
        <v>89</v>
      </c>
      <c r="E2012" s="76">
        <v>0.1</v>
      </c>
      <c r="F2012" s="76" t="s">
        <v>44</v>
      </c>
      <c r="G2012" s="76"/>
      <c r="H2012" s="76"/>
      <c r="I2012" s="76" t="s">
        <v>38</v>
      </c>
      <c r="J2012" s="83" t="s">
        <v>2278</v>
      </c>
      <c r="K2012" s="24"/>
    </row>
    <row r="2013" outlineLevel="1" spans="1:11">
      <c r="A2013" s="24"/>
      <c r="B2013" s="81" t="str">
        <f t="shared" si="52"/>
        <v>141B</v>
      </c>
      <c r="C2013" s="69" t="s">
        <v>2279</v>
      </c>
      <c r="D2013" s="76" t="s">
        <v>89</v>
      </c>
      <c r="E2013" s="76">
        <v>0.01</v>
      </c>
      <c r="F2013" s="76" t="s">
        <v>303</v>
      </c>
      <c r="G2013" s="76"/>
      <c r="H2013" s="76"/>
      <c r="I2013" s="76" t="s">
        <v>38</v>
      </c>
      <c r="J2013" s="83" t="s">
        <v>2280</v>
      </c>
      <c r="K2013" s="24"/>
    </row>
    <row r="2014" outlineLevel="1" spans="1:11">
      <c r="A2014" s="24"/>
      <c r="B2014" s="81" t="str">
        <f t="shared" si="52"/>
        <v>141C</v>
      </c>
      <c r="C2014" s="69" t="s">
        <v>2281</v>
      </c>
      <c r="D2014" s="76" t="s">
        <v>89</v>
      </c>
      <c r="E2014" s="76">
        <v>0.1</v>
      </c>
      <c r="F2014" s="76" t="s">
        <v>44</v>
      </c>
      <c r="G2014" s="76"/>
      <c r="H2014" s="76"/>
      <c r="I2014" s="76" t="s">
        <v>38</v>
      </c>
      <c r="J2014" s="83" t="s">
        <v>2282</v>
      </c>
      <c r="K2014" s="24"/>
    </row>
    <row r="2015" outlineLevel="1" spans="1:11">
      <c r="A2015" s="24"/>
      <c r="B2015" s="81" t="str">
        <f t="shared" si="52"/>
        <v>141D</v>
      </c>
      <c r="C2015" s="69" t="s">
        <v>2283</v>
      </c>
      <c r="D2015" s="76" t="s">
        <v>89</v>
      </c>
      <c r="E2015" s="76">
        <v>0.01</v>
      </c>
      <c r="F2015" s="76" t="s">
        <v>303</v>
      </c>
      <c r="G2015" s="76"/>
      <c r="H2015" s="76"/>
      <c r="I2015" s="76" t="s">
        <v>38</v>
      </c>
      <c r="J2015" s="83" t="s">
        <v>2284</v>
      </c>
      <c r="K2015" s="24"/>
    </row>
    <row r="2016" outlineLevel="1" spans="1:11">
      <c r="A2016" s="24"/>
      <c r="B2016" s="81" t="str">
        <f t="shared" si="52"/>
        <v>141E</v>
      </c>
      <c r="C2016" s="69" t="s">
        <v>2285</v>
      </c>
      <c r="D2016" s="76" t="s">
        <v>89</v>
      </c>
      <c r="E2016" s="76">
        <v>0.1</v>
      </c>
      <c r="F2016" s="76" t="s">
        <v>44</v>
      </c>
      <c r="G2016" s="76"/>
      <c r="H2016" s="76"/>
      <c r="I2016" s="76" t="s">
        <v>38</v>
      </c>
      <c r="J2016" s="83" t="s">
        <v>2286</v>
      </c>
      <c r="K2016" s="24"/>
    </row>
    <row r="2017" outlineLevel="1" spans="1:11">
      <c r="A2017" s="24"/>
      <c r="B2017" s="81" t="str">
        <f t="shared" si="52"/>
        <v>141F</v>
      </c>
      <c r="C2017" s="69" t="s">
        <v>2287</v>
      </c>
      <c r="D2017" s="76" t="s">
        <v>89</v>
      </c>
      <c r="E2017" s="76">
        <v>0.01</v>
      </c>
      <c r="F2017" s="76" t="s">
        <v>303</v>
      </c>
      <c r="G2017" s="76"/>
      <c r="H2017" s="76"/>
      <c r="I2017" s="76" t="s">
        <v>38</v>
      </c>
      <c r="J2017" s="83" t="s">
        <v>2288</v>
      </c>
      <c r="K2017" s="24"/>
    </row>
    <row r="2018" outlineLevel="1" spans="1:11">
      <c r="A2018" s="24"/>
      <c r="B2018" s="81" t="str">
        <f t="shared" si="52"/>
        <v>1420</v>
      </c>
      <c r="C2018" s="69" t="s">
        <v>2289</v>
      </c>
      <c r="D2018" s="76" t="s">
        <v>89</v>
      </c>
      <c r="E2018" s="76">
        <v>0.1</v>
      </c>
      <c r="F2018" s="76" t="s">
        <v>44</v>
      </c>
      <c r="G2018" s="76"/>
      <c r="H2018" s="76"/>
      <c r="I2018" s="76" t="s">
        <v>38</v>
      </c>
      <c r="J2018" s="83" t="s">
        <v>2290</v>
      </c>
      <c r="K2018" s="24"/>
    </row>
    <row r="2019" outlineLevel="1" spans="1:11">
      <c r="A2019" s="24"/>
      <c r="B2019" s="81" t="str">
        <f t="shared" si="52"/>
        <v>1421</v>
      </c>
      <c r="C2019" s="69" t="s">
        <v>2291</v>
      </c>
      <c r="D2019" s="76" t="s">
        <v>89</v>
      </c>
      <c r="E2019" s="76">
        <v>0.01</v>
      </c>
      <c r="F2019" s="76" t="s">
        <v>303</v>
      </c>
      <c r="G2019" s="76"/>
      <c r="H2019" s="76"/>
      <c r="I2019" s="76" t="s">
        <v>38</v>
      </c>
      <c r="J2019" s="83" t="s">
        <v>2292</v>
      </c>
      <c r="K2019" s="24"/>
    </row>
    <row r="2020" outlineLevel="1" spans="1:11">
      <c r="A2020" s="24"/>
      <c r="B2020" s="81" t="str">
        <f t="shared" si="52"/>
        <v>1422</v>
      </c>
      <c r="C2020" s="69" t="s">
        <v>2293</v>
      </c>
      <c r="D2020" s="76" t="s">
        <v>89</v>
      </c>
      <c r="E2020" s="76">
        <v>0.1</v>
      </c>
      <c r="F2020" s="76" t="s">
        <v>44</v>
      </c>
      <c r="G2020" s="76"/>
      <c r="H2020" s="76"/>
      <c r="I2020" s="76" t="s">
        <v>38</v>
      </c>
      <c r="J2020" s="83" t="s">
        <v>2294</v>
      </c>
      <c r="K2020" s="24"/>
    </row>
    <row r="2021" outlineLevel="1" spans="1:11">
      <c r="A2021" s="24"/>
      <c r="B2021" s="81" t="str">
        <f t="shared" si="52"/>
        <v>1423</v>
      </c>
      <c r="C2021" s="69" t="s">
        <v>2295</v>
      </c>
      <c r="D2021" s="76" t="s">
        <v>89</v>
      </c>
      <c r="E2021" s="76">
        <v>0.01</v>
      </c>
      <c r="F2021" s="76" t="s">
        <v>303</v>
      </c>
      <c r="G2021" s="76"/>
      <c r="H2021" s="76"/>
      <c r="I2021" s="76" t="s">
        <v>38</v>
      </c>
      <c r="J2021" s="83" t="s">
        <v>2296</v>
      </c>
      <c r="K2021" s="24"/>
    </row>
    <row r="2022" outlineLevel="1" spans="1:11">
      <c r="A2022" s="24"/>
      <c r="B2022" s="81" t="str">
        <f t="shared" si="52"/>
        <v>1424</v>
      </c>
      <c r="C2022" s="69" t="s">
        <v>2297</v>
      </c>
      <c r="D2022" s="76" t="s">
        <v>89</v>
      </c>
      <c r="E2022" s="76">
        <v>0.1</v>
      </c>
      <c r="F2022" s="76" t="s">
        <v>44</v>
      </c>
      <c r="G2022" s="76"/>
      <c r="H2022" s="76"/>
      <c r="I2022" s="76" t="s">
        <v>38</v>
      </c>
      <c r="J2022" s="83" t="s">
        <v>2298</v>
      </c>
      <c r="K2022" s="24"/>
    </row>
    <row r="2023" outlineLevel="1" spans="1:11">
      <c r="A2023" s="24"/>
      <c r="B2023" s="81" t="str">
        <f t="shared" si="52"/>
        <v>1425</v>
      </c>
      <c r="C2023" s="69" t="s">
        <v>2299</v>
      </c>
      <c r="D2023" s="76" t="s">
        <v>89</v>
      </c>
      <c r="E2023" s="76">
        <v>0.01</v>
      </c>
      <c r="F2023" s="76" t="s">
        <v>303</v>
      </c>
      <c r="G2023" s="76"/>
      <c r="H2023" s="76"/>
      <c r="I2023" s="76" t="s">
        <v>38</v>
      </c>
      <c r="J2023" s="83" t="s">
        <v>2300</v>
      </c>
      <c r="K2023" s="24"/>
    </row>
    <row r="2024" outlineLevel="1" spans="1:11">
      <c r="A2024" s="24"/>
      <c r="B2024" s="81" t="str">
        <f t="shared" si="52"/>
        <v>1426</v>
      </c>
      <c r="C2024" s="69" t="s">
        <v>2301</v>
      </c>
      <c r="D2024" s="76" t="s">
        <v>89</v>
      </c>
      <c r="E2024" s="76">
        <v>0.1</v>
      </c>
      <c r="F2024" s="76" t="s">
        <v>44</v>
      </c>
      <c r="G2024" s="76"/>
      <c r="H2024" s="76"/>
      <c r="I2024" s="76" t="s">
        <v>38</v>
      </c>
      <c r="J2024" s="83" t="s">
        <v>2302</v>
      </c>
      <c r="K2024" s="24"/>
    </row>
    <row r="2025" outlineLevel="1" spans="1:11">
      <c r="A2025" s="24"/>
      <c r="B2025" s="81" t="str">
        <f t="shared" si="52"/>
        <v>1427</v>
      </c>
      <c r="C2025" s="69" t="s">
        <v>2303</v>
      </c>
      <c r="D2025" s="76" t="s">
        <v>89</v>
      </c>
      <c r="E2025" s="76">
        <v>0.01</v>
      </c>
      <c r="F2025" s="76" t="s">
        <v>303</v>
      </c>
      <c r="G2025" s="76"/>
      <c r="H2025" s="76"/>
      <c r="I2025" s="76" t="s">
        <v>38</v>
      </c>
      <c r="J2025" s="83" t="s">
        <v>2304</v>
      </c>
      <c r="K2025" s="24"/>
    </row>
    <row r="2026" outlineLevel="1" spans="1:11">
      <c r="A2026" s="24"/>
      <c r="B2026" s="81" t="str">
        <f t="shared" si="52"/>
        <v>1428</v>
      </c>
      <c r="C2026" s="69" t="s">
        <v>2305</v>
      </c>
      <c r="D2026" s="76" t="s">
        <v>89</v>
      </c>
      <c r="E2026" s="76">
        <v>0.1</v>
      </c>
      <c r="F2026" s="76" t="s">
        <v>44</v>
      </c>
      <c r="G2026" s="76"/>
      <c r="H2026" s="76"/>
      <c r="I2026" s="76" t="s">
        <v>38</v>
      </c>
      <c r="J2026" s="83" t="s">
        <v>2306</v>
      </c>
      <c r="K2026" s="24"/>
    </row>
    <row r="2027" outlineLevel="1" spans="1:11">
      <c r="A2027" s="24"/>
      <c r="B2027" s="81" t="str">
        <f t="shared" si="52"/>
        <v>1429</v>
      </c>
      <c r="C2027" s="69" t="s">
        <v>2307</v>
      </c>
      <c r="D2027" s="76" t="s">
        <v>89</v>
      </c>
      <c r="E2027" s="76">
        <v>0.01</v>
      </c>
      <c r="F2027" s="76" t="s">
        <v>303</v>
      </c>
      <c r="G2027" s="76"/>
      <c r="H2027" s="76"/>
      <c r="I2027" s="76" t="s">
        <v>38</v>
      </c>
      <c r="J2027" s="83" t="s">
        <v>2308</v>
      </c>
      <c r="K2027" s="24"/>
    </row>
    <row r="2028" outlineLevel="1" spans="1:11">
      <c r="A2028" s="24"/>
      <c r="B2028" s="81" t="str">
        <f t="shared" si="52"/>
        <v>142A</v>
      </c>
      <c r="C2028" s="69" t="s">
        <v>2309</v>
      </c>
      <c r="D2028" s="76" t="s">
        <v>89</v>
      </c>
      <c r="E2028" s="76">
        <v>0.1</v>
      </c>
      <c r="F2028" s="76" t="s">
        <v>44</v>
      </c>
      <c r="G2028" s="76"/>
      <c r="H2028" s="76"/>
      <c r="I2028" s="76" t="s">
        <v>38</v>
      </c>
      <c r="J2028" s="83" t="s">
        <v>2310</v>
      </c>
      <c r="K2028" s="24"/>
    </row>
    <row r="2029" outlineLevel="1" spans="1:11">
      <c r="A2029" s="24"/>
      <c r="B2029" s="81" t="str">
        <f t="shared" si="52"/>
        <v>142B</v>
      </c>
      <c r="C2029" s="69" t="s">
        <v>2311</v>
      </c>
      <c r="D2029" s="76" t="s">
        <v>89</v>
      </c>
      <c r="E2029" s="76">
        <v>0.01</v>
      </c>
      <c r="F2029" s="76" t="s">
        <v>303</v>
      </c>
      <c r="G2029" s="76"/>
      <c r="H2029" s="76"/>
      <c r="I2029" s="76" t="s">
        <v>38</v>
      </c>
      <c r="J2029" s="83" t="s">
        <v>2312</v>
      </c>
      <c r="K2029" s="24"/>
    </row>
    <row r="2030" outlineLevel="1" spans="1:11">
      <c r="A2030" s="24"/>
      <c r="B2030" s="81" t="str">
        <f t="shared" si="52"/>
        <v>142C</v>
      </c>
      <c r="C2030" s="69" t="s">
        <v>2313</v>
      </c>
      <c r="D2030" s="76" t="s">
        <v>89</v>
      </c>
      <c r="E2030" s="76">
        <v>0.1</v>
      </c>
      <c r="F2030" s="76" t="s">
        <v>44</v>
      </c>
      <c r="G2030" s="76"/>
      <c r="H2030" s="76"/>
      <c r="I2030" s="76" t="s">
        <v>38</v>
      </c>
      <c r="J2030" s="83" t="s">
        <v>2314</v>
      </c>
      <c r="K2030" s="24"/>
    </row>
    <row r="2031" outlineLevel="1" spans="1:11">
      <c r="A2031" s="24"/>
      <c r="B2031" s="81" t="str">
        <f t="shared" si="52"/>
        <v>142D</v>
      </c>
      <c r="C2031" s="69" t="s">
        <v>2315</v>
      </c>
      <c r="D2031" s="76" t="s">
        <v>89</v>
      </c>
      <c r="E2031" s="76">
        <v>0.01</v>
      </c>
      <c r="F2031" s="76" t="s">
        <v>303</v>
      </c>
      <c r="G2031" s="76"/>
      <c r="H2031" s="76"/>
      <c r="I2031" s="76" t="s">
        <v>38</v>
      </c>
      <c r="J2031" s="83" t="s">
        <v>2316</v>
      </c>
      <c r="K2031" s="24"/>
    </row>
    <row r="2032" outlineLevel="1" spans="1:11">
      <c r="A2032" s="24"/>
      <c r="B2032" s="81" t="str">
        <f t="shared" si="52"/>
        <v>142E</v>
      </c>
      <c r="C2032" s="69" t="s">
        <v>2317</v>
      </c>
      <c r="D2032" s="76" t="s">
        <v>89</v>
      </c>
      <c r="E2032" s="76">
        <v>0.1</v>
      </c>
      <c r="F2032" s="76" t="s">
        <v>44</v>
      </c>
      <c r="G2032" s="76"/>
      <c r="H2032" s="76"/>
      <c r="I2032" s="76" t="s">
        <v>38</v>
      </c>
      <c r="J2032" s="83" t="s">
        <v>2318</v>
      </c>
      <c r="K2032" s="24"/>
    </row>
    <row r="2033" outlineLevel="1" spans="1:11">
      <c r="A2033" s="24"/>
      <c r="B2033" s="81" t="str">
        <f t="shared" si="52"/>
        <v>142F</v>
      </c>
      <c r="C2033" s="69" t="s">
        <v>2319</v>
      </c>
      <c r="D2033" s="76" t="s">
        <v>89</v>
      </c>
      <c r="E2033" s="76">
        <v>0.01</v>
      </c>
      <c r="F2033" s="76" t="s">
        <v>303</v>
      </c>
      <c r="G2033" s="76"/>
      <c r="H2033" s="76"/>
      <c r="I2033" s="76" t="s">
        <v>38</v>
      </c>
      <c r="J2033" s="83" t="s">
        <v>2320</v>
      </c>
      <c r="K2033" s="24"/>
    </row>
    <row r="2034" outlineLevel="1" spans="1:11">
      <c r="A2034" s="24"/>
      <c r="B2034" s="81" t="str">
        <f t="shared" si="52"/>
        <v>1430</v>
      </c>
      <c r="C2034" s="69" t="s">
        <v>2321</v>
      </c>
      <c r="D2034" s="76" t="s">
        <v>89</v>
      </c>
      <c r="E2034" s="76">
        <v>0.1</v>
      </c>
      <c r="F2034" s="76" t="s">
        <v>44</v>
      </c>
      <c r="G2034" s="76"/>
      <c r="H2034" s="76"/>
      <c r="I2034" s="76" t="s">
        <v>38</v>
      </c>
      <c r="J2034" s="83" t="s">
        <v>2322</v>
      </c>
      <c r="K2034" s="24"/>
    </row>
    <row r="2035" outlineLevel="1" spans="1:11">
      <c r="A2035" s="24"/>
      <c r="B2035" s="81" t="str">
        <f t="shared" si="52"/>
        <v>1431</v>
      </c>
      <c r="C2035" s="69" t="s">
        <v>2323</v>
      </c>
      <c r="D2035" s="76" t="s">
        <v>89</v>
      </c>
      <c r="E2035" s="76">
        <v>0.01</v>
      </c>
      <c r="F2035" s="76" t="s">
        <v>303</v>
      </c>
      <c r="G2035" s="76"/>
      <c r="H2035" s="76"/>
      <c r="I2035" s="76" t="s">
        <v>38</v>
      </c>
      <c r="J2035" s="83" t="s">
        <v>2324</v>
      </c>
      <c r="K2035" s="24"/>
    </row>
    <row r="2036" outlineLevel="1" spans="1:11">
      <c r="A2036" s="24"/>
      <c r="B2036" s="81" t="str">
        <f t="shared" si="52"/>
        <v>1432</v>
      </c>
      <c r="C2036" s="69" t="s">
        <v>2325</v>
      </c>
      <c r="D2036" s="76" t="s">
        <v>89</v>
      </c>
      <c r="E2036" s="76">
        <v>0.1</v>
      </c>
      <c r="F2036" s="76" t="s">
        <v>44</v>
      </c>
      <c r="G2036" s="76"/>
      <c r="H2036" s="76"/>
      <c r="I2036" s="76" t="s">
        <v>38</v>
      </c>
      <c r="J2036" s="83" t="s">
        <v>2326</v>
      </c>
      <c r="K2036" s="24"/>
    </row>
    <row r="2037" outlineLevel="1" spans="1:11">
      <c r="A2037" s="24"/>
      <c r="B2037" s="81" t="str">
        <f t="shared" si="52"/>
        <v>1433</v>
      </c>
      <c r="C2037" s="69" t="s">
        <v>2327</v>
      </c>
      <c r="D2037" s="76" t="s">
        <v>89</v>
      </c>
      <c r="E2037" s="76">
        <v>0.01</v>
      </c>
      <c r="F2037" s="76" t="s">
        <v>303</v>
      </c>
      <c r="G2037" s="76"/>
      <c r="H2037" s="76"/>
      <c r="I2037" s="76" t="s">
        <v>38</v>
      </c>
      <c r="J2037" s="83" t="s">
        <v>2328</v>
      </c>
      <c r="K2037" s="24"/>
    </row>
    <row r="2038" outlineLevel="1" spans="1:11">
      <c r="A2038" s="24"/>
      <c r="B2038" s="81" t="str">
        <f t="shared" si="52"/>
        <v>1434</v>
      </c>
      <c r="C2038" s="69" t="s">
        <v>2329</v>
      </c>
      <c r="D2038" s="76" t="s">
        <v>89</v>
      </c>
      <c r="E2038" s="76">
        <v>0.1</v>
      </c>
      <c r="F2038" s="76" t="s">
        <v>44</v>
      </c>
      <c r="G2038" s="76"/>
      <c r="H2038" s="76"/>
      <c r="I2038" s="76" t="s">
        <v>38</v>
      </c>
      <c r="J2038" s="83" t="s">
        <v>2330</v>
      </c>
      <c r="K2038" s="24"/>
    </row>
    <row r="2039" outlineLevel="1" spans="1:11">
      <c r="A2039" s="24"/>
      <c r="B2039" s="81" t="str">
        <f t="shared" si="52"/>
        <v>1435</v>
      </c>
      <c r="C2039" s="69" t="s">
        <v>2331</v>
      </c>
      <c r="D2039" s="76" t="s">
        <v>89</v>
      </c>
      <c r="E2039" s="76">
        <v>0.01</v>
      </c>
      <c r="F2039" s="76" t="s">
        <v>303</v>
      </c>
      <c r="G2039" s="76"/>
      <c r="H2039" s="76"/>
      <c r="I2039" s="76" t="s">
        <v>38</v>
      </c>
      <c r="J2039" s="83" t="s">
        <v>2332</v>
      </c>
      <c r="K2039" s="24"/>
    </row>
    <row r="2040" outlineLevel="1" spans="1:11">
      <c r="A2040" s="24"/>
      <c r="B2040" s="81" t="str">
        <f t="shared" si="52"/>
        <v>1436</v>
      </c>
      <c r="C2040" s="69" t="s">
        <v>2333</v>
      </c>
      <c r="D2040" s="76" t="s">
        <v>89</v>
      </c>
      <c r="E2040" s="76">
        <v>0.1</v>
      </c>
      <c r="F2040" s="76" t="s">
        <v>44</v>
      </c>
      <c r="G2040" s="76"/>
      <c r="H2040" s="76"/>
      <c r="I2040" s="76" t="s">
        <v>38</v>
      </c>
      <c r="J2040" s="83" t="s">
        <v>2334</v>
      </c>
      <c r="K2040" s="24"/>
    </row>
    <row r="2041" outlineLevel="1" spans="1:11">
      <c r="A2041" s="24"/>
      <c r="B2041" s="81" t="str">
        <f t="shared" si="52"/>
        <v>1437</v>
      </c>
      <c r="C2041" s="69" t="s">
        <v>2335</v>
      </c>
      <c r="D2041" s="76" t="s">
        <v>89</v>
      </c>
      <c r="E2041" s="76">
        <v>0.01</v>
      </c>
      <c r="F2041" s="76" t="s">
        <v>303</v>
      </c>
      <c r="G2041" s="76"/>
      <c r="H2041" s="76"/>
      <c r="I2041" s="76" t="s">
        <v>38</v>
      </c>
      <c r="J2041" s="83" t="s">
        <v>2336</v>
      </c>
      <c r="K2041" s="24"/>
    </row>
    <row r="2042" outlineLevel="1" spans="1:11">
      <c r="A2042" s="24"/>
      <c r="B2042" s="81" t="str">
        <f t="shared" si="52"/>
        <v>1438</v>
      </c>
      <c r="C2042" s="69" t="s">
        <v>2337</v>
      </c>
      <c r="D2042" s="76" t="s">
        <v>89</v>
      </c>
      <c r="E2042" s="76">
        <v>0.1</v>
      </c>
      <c r="F2042" s="76" t="s">
        <v>44</v>
      </c>
      <c r="G2042" s="76"/>
      <c r="H2042" s="76"/>
      <c r="I2042" s="76" t="s">
        <v>38</v>
      </c>
      <c r="J2042" s="83" t="s">
        <v>2338</v>
      </c>
      <c r="K2042" s="24"/>
    </row>
    <row r="2043" outlineLevel="1" spans="1:11">
      <c r="A2043" s="24"/>
      <c r="B2043" s="81" t="str">
        <f t="shared" si="52"/>
        <v>1439</v>
      </c>
      <c r="C2043" s="69" t="s">
        <v>2339</v>
      </c>
      <c r="D2043" s="76" t="s">
        <v>89</v>
      </c>
      <c r="E2043" s="76">
        <v>0.01</v>
      </c>
      <c r="F2043" s="76" t="s">
        <v>303</v>
      </c>
      <c r="G2043" s="76"/>
      <c r="H2043" s="76"/>
      <c r="I2043" s="76" t="s">
        <v>38</v>
      </c>
      <c r="J2043" s="83" t="s">
        <v>2340</v>
      </c>
      <c r="K2043" s="24"/>
    </row>
    <row r="2044" outlineLevel="1" spans="1:11">
      <c r="A2044" s="24"/>
      <c r="B2044" s="81" t="str">
        <f t="shared" si="52"/>
        <v>143A</v>
      </c>
      <c r="C2044" s="69" t="s">
        <v>2341</v>
      </c>
      <c r="D2044" s="76" t="s">
        <v>89</v>
      </c>
      <c r="E2044" s="76">
        <v>0.1</v>
      </c>
      <c r="F2044" s="76" t="s">
        <v>44</v>
      </c>
      <c r="G2044" s="76"/>
      <c r="H2044" s="76"/>
      <c r="I2044" s="76" t="s">
        <v>38</v>
      </c>
      <c r="J2044" s="83" t="s">
        <v>2342</v>
      </c>
      <c r="K2044" s="24"/>
    </row>
    <row r="2045" outlineLevel="1" spans="1:11">
      <c r="A2045" s="24"/>
      <c r="B2045" s="81" t="str">
        <f t="shared" si="52"/>
        <v>143B</v>
      </c>
      <c r="C2045" s="69" t="s">
        <v>2343</v>
      </c>
      <c r="D2045" s="76" t="s">
        <v>89</v>
      </c>
      <c r="E2045" s="76">
        <v>0.01</v>
      </c>
      <c r="F2045" s="76" t="s">
        <v>303</v>
      </c>
      <c r="G2045" s="76"/>
      <c r="H2045" s="76"/>
      <c r="I2045" s="76" t="s">
        <v>38</v>
      </c>
      <c r="J2045" s="83" t="s">
        <v>2344</v>
      </c>
      <c r="K2045" s="24"/>
    </row>
    <row r="2046" outlineLevel="1" spans="1:11">
      <c r="A2046" s="24"/>
      <c r="B2046" s="81" t="str">
        <f t="shared" si="52"/>
        <v>143C</v>
      </c>
      <c r="C2046" s="69" t="s">
        <v>2345</v>
      </c>
      <c r="D2046" s="76" t="s">
        <v>89</v>
      </c>
      <c r="E2046" s="76">
        <v>0.1</v>
      </c>
      <c r="F2046" s="76" t="s">
        <v>44</v>
      </c>
      <c r="G2046" s="76"/>
      <c r="H2046" s="76"/>
      <c r="I2046" s="76" t="s">
        <v>38</v>
      </c>
      <c r="J2046" s="83" t="s">
        <v>2346</v>
      </c>
      <c r="K2046" s="24"/>
    </row>
    <row r="2047" outlineLevel="1" spans="1:11">
      <c r="A2047" s="24"/>
      <c r="B2047" s="81" t="str">
        <f t="shared" si="52"/>
        <v>143D</v>
      </c>
      <c r="C2047" s="69" t="s">
        <v>2347</v>
      </c>
      <c r="D2047" s="76" t="s">
        <v>89</v>
      </c>
      <c r="E2047" s="76">
        <v>0.01</v>
      </c>
      <c r="F2047" s="76" t="s">
        <v>303</v>
      </c>
      <c r="G2047" s="76"/>
      <c r="H2047" s="76"/>
      <c r="I2047" s="76" t="s">
        <v>38</v>
      </c>
      <c r="J2047" s="83" t="s">
        <v>2348</v>
      </c>
      <c r="K2047" s="24"/>
    </row>
    <row r="2048" outlineLevel="1" spans="1:11">
      <c r="A2048" s="24"/>
      <c r="B2048" s="81" t="str">
        <f t="shared" si="52"/>
        <v>143E</v>
      </c>
      <c r="C2048" s="69" t="s">
        <v>2349</v>
      </c>
      <c r="D2048" s="76" t="s">
        <v>89</v>
      </c>
      <c r="E2048" s="76">
        <v>0.1</v>
      </c>
      <c r="F2048" s="76" t="s">
        <v>44</v>
      </c>
      <c r="G2048" s="76"/>
      <c r="H2048" s="76"/>
      <c r="I2048" s="76" t="s">
        <v>38</v>
      </c>
      <c r="J2048" s="83" t="s">
        <v>2350</v>
      </c>
      <c r="K2048" s="24"/>
    </row>
    <row r="2049" outlineLevel="1" spans="1:11">
      <c r="A2049" s="24"/>
      <c r="B2049" s="81" t="str">
        <f t="shared" si="52"/>
        <v>143F</v>
      </c>
      <c r="C2049" s="69" t="s">
        <v>2351</v>
      </c>
      <c r="D2049" s="76" t="s">
        <v>89</v>
      </c>
      <c r="E2049" s="76">
        <v>0.01</v>
      </c>
      <c r="F2049" s="76" t="s">
        <v>303</v>
      </c>
      <c r="G2049" s="76"/>
      <c r="H2049" s="76"/>
      <c r="I2049" s="76" t="s">
        <v>38</v>
      </c>
      <c r="J2049" s="83" t="s">
        <v>2352</v>
      </c>
      <c r="K2049" s="24"/>
    </row>
    <row r="2050" outlineLevel="1" spans="1:11">
      <c r="A2050" s="24"/>
      <c r="B2050" s="81" t="str">
        <f t="shared" si="52"/>
        <v>1440</v>
      </c>
      <c r="C2050" s="63" t="s">
        <v>2353</v>
      </c>
      <c r="D2050" s="59" t="s">
        <v>59</v>
      </c>
      <c r="E2050" s="59"/>
      <c r="F2050" s="59"/>
      <c r="G2050" s="59"/>
      <c r="H2050" s="59"/>
      <c r="I2050" s="59" t="s">
        <v>38</v>
      </c>
      <c r="J2050" s="63" t="s">
        <v>279</v>
      </c>
      <c r="K2050" s="24"/>
    </row>
    <row r="2051" outlineLevel="1" spans="1:11">
      <c r="A2051" s="24"/>
      <c r="B2051" s="81" t="str">
        <f t="shared" si="52"/>
        <v>1441</v>
      </c>
      <c r="C2051" s="63"/>
      <c r="D2051" s="59"/>
      <c r="E2051" s="59"/>
      <c r="F2051" s="59"/>
      <c r="G2051" s="59"/>
      <c r="H2051" s="59"/>
      <c r="I2051" s="59"/>
      <c r="J2051" s="63"/>
      <c r="K2051" s="24"/>
    </row>
    <row r="2052" outlineLevel="1" spans="1:11">
      <c r="A2052" s="24"/>
      <c r="B2052" s="81" t="str">
        <f t="shared" si="52"/>
        <v>1442</v>
      </c>
      <c r="C2052" s="63"/>
      <c r="D2052" s="59"/>
      <c r="E2052" s="59"/>
      <c r="F2052" s="59"/>
      <c r="G2052" s="59"/>
      <c r="H2052" s="59"/>
      <c r="I2052" s="59"/>
      <c r="J2052" s="63"/>
      <c r="K2052" s="24"/>
    </row>
    <row r="2053" ht="53" customHeight="1" outlineLevel="1" spans="1:11">
      <c r="A2053" s="24"/>
      <c r="B2053" s="81" t="str">
        <f t="shared" si="52"/>
        <v>1443</v>
      </c>
      <c r="C2053" s="63"/>
      <c r="D2053" s="59"/>
      <c r="E2053" s="59"/>
      <c r="F2053" s="59"/>
      <c r="G2053" s="59"/>
      <c r="H2053" s="59"/>
      <c r="I2053" s="59"/>
      <c r="J2053" s="63"/>
      <c r="K2053" s="24"/>
    </row>
    <row r="2054" outlineLevel="1" spans="1:11">
      <c r="A2054" s="24"/>
      <c r="B2054" s="81" t="str">
        <f t="shared" si="52"/>
        <v>1444</v>
      </c>
      <c r="C2054" s="69" t="s">
        <v>2354</v>
      </c>
      <c r="D2054" s="76" t="s">
        <v>89</v>
      </c>
      <c r="E2054" s="76">
        <v>0.1</v>
      </c>
      <c r="F2054" s="76" t="s">
        <v>44</v>
      </c>
      <c r="G2054" s="76"/>
      <c r="H2054" s="76"/>
      <c r="I2054" s="76" t="s">
        <v>38</v>
      </c>
      <c r="J2054" s="83" t="s">
        <v>2355</v>
      </c>
      <c r="K2054" s="24"/>
    </row>
    <row r="2055" outlineLevel="1" spans="1:11">
      <c r="A2055" s="24"/>
      <c r="B2055" s="81" t="str">
        <f t="shared" si="52"/>
        <v>1445</v>
      </c>
      <c r="C2055" s="69" t="s">
        <v>2356</v>
      </c>
      <c r="D2055" s="76" t="s">
        <v>89</v>
      </c>
      <c r="E2055" s="76">
        <v>0.01</v>
      </c>
      <c r="F2055" s="76" t="s">
        <v>303</v>
      </c>
      <c r="G2055" s="76"/>
      <c r="H2055" s="76"/>
      <c r="I2055" s="76" t="s">
        <v>38</v>
      </c>
      <c r="J2055" s="83" t="s">
        <v>2357</v>
      </c>
      <c r="K2055" s="24"/>
    </row>
    <row r="2056" outlineLevel="1" spans="1:11">
      <c r="A2056" s="24"/>
      <c r="B2056" s="81" t="str">
        <f t="shared" si="52"/>
        <v>1446</v>
      </c>
      <c r="C2056" s="69" t="s">
        <v>2358</v>
      </c>
      <c r="D2056" s="76" t="s">
        <v>89</v>
      </c>
      <c r="E2056" s="76">
        <v>0.1</v>
      </c>
      <c r="F2056" s="76" t="s">
        <v>44</v>
      </c>
      <c r="G2056" s="76"/>
      <c r="H2056" s="76"/>
      <c r="I2056" s="76" t="s">
        <v>38</v>
      </c>
      <c r="J2056" s="83" t="s">
        <v>2359</v>
      </c>
      <c r="K2056" s="24"/>
    </row>
    <row r="2057" outlineLevel="1" spans="1:11">
      <c r="A2057" s="24"/>
      <c r="B2057" s="81" t="str">
        <f t="shared" si="52"/>
        <v>1447</v>
      </c>
      <c r="C2057" s="69" t="s">
        <v>2360</v>
      </c>
      <c r="D2057" s="76" t="s">
        <v>89</v>
      </c>
      <c r="E2057" s="76">
        <v>0.01</v>
      </c>
      <c r="F2057" s="76" t="s">
        <v>303</v>
      </c>
      <c r="G2057" s="76"/>
      <c r="H2057" s="76"/>
      <c r="I2057" s="76" t="s">
        <v>38</v>
      </c>
      <c r="J2057" s="83" t="s">
        <v>2361</v>
      </c>
      <c r="K2057" s="24"/>
    </row>
    <row r="2058" outlineLevel="1" spans="1:11">
      <c r="A2058" s="24"/>
      <c r="B2058" s="81" t="str">
        <f t="shared" si="52"/>
        <v>1448</v>
      </c>
      <c r="C2058" s="69" t="s">
        <v>2362</v>
      </c>
      <c r="D2058" s="76" t="s">
        <v>89</v>
      </c>
      <c r="E2058" s="76">
        <v>0.1</v>
      </c>
      <c r="F2058" s="76" t="s">
        <v>44</v>
      </c>
      <c r="G2058" s="76"/>
      <c r="H2058" s="76"/>
      <c r="I2058" s="76" t="s">
        <v>38</v>
      </c>
      <c r="J2058" s="83" t="s">
        <v>2363</v>
      </c>
      <c r="K2058" s="24"/>
    </row>
    <row r="2059" outlineLevel="1" spans="1:11">
      <c r="A2059" s="24"/>
      <c r="B2059" s="81" t="str">
        <f t="shared" si="52"/>
        <v>1449</v>
      </c>
      <c r="C2059" s="69" t="s">
        <v>2364</v>
      </c>
      <c r="D2059" s="76" t="s">
        <v>89</v>
      </c>
      <c r="E2059" s="76">
        <v>0.01</v>
      </c>
      <c r="F2059" s="76" t="s">
        <v>303</v>
      </c>
      <c r="G2059" s="76"/>
      <c r="H2059" s="76"/>
      <c r="I2059" s="76" t="s">
        <v>38</v>
      </c>
      <c r="J2059" s="83" t="s">
        <v>2365</v>
      </c>
      <c r="K2059" s="24"/>
    </row>
    <row r="2060" outlineLevel="1" spans="1:11">
      <c r="A2060" s="24"/>
      <c r="B2060" s="81" t="str">
        <f t="shared" si="52"/>
        <v>144A</v>
      </c>
      <c r="C2060" s="69" t="s">
        <v>2366</v>
      </c>
      <c r="D2060" s="76" t="s">
        <v>89</v>
      </c>
      <c r="E2060" s="76">
        <v>0.1</v>
      </c>
      <c r="F2060" s="76" t="s">
        <v>44</v>
      </c>
      <c r="G2060" s="76"/>
      <c r="H2060" s="76"/>
      <c r="I2060" s="76" t="s">
        <v>38</v>
      </c>
      <c r="J2060" s="83" t="s">
        <v>2367</v>
      </c>
      <c r="K2060" s="24"/>
    </row>
    <row r="2061" outlineLevel="1" spans="1:11">
      <c r="A2061" s="24"/>
      <c r="B2061" s="81" t="str">
        <f t="shared" si="52"/>
        <v>144B</v>
      </c>
      <c r="C2061" s="69" t="s">
        <v>2368</v>
      </c>
      <c r="D2061" s="76" t="s">
        <v>89</v>
      </c>
      <c r="E2061" s="76">
        <v>0.01</v>
      </c>
      <c r="F2061" s="76" t="s">
        <v>303</v>
      </c>
      <c r="G2061" s="76"/>
      <c r="H2061" s="76"/>
      <c r="I2061" s="76" t="s">
        <v>38</v>
      </c>
      <c r="J2061" s="83" t="s">
        <v>2369</v>
      </c>
      <c r="K2061" s="24"/>
    </row>
    <row r="2062" outlineLevel="1" spans="1:11">
      <c r="A2062" s="24"/>
      <c r="B2062" s="81" t="str">
        <f t="shared" si="52"/>
        <v>144C</v>
      </c>
      <c r="C2062" s="69" t="s">
        <v>2370</v>
      </c>
      <c r="D2062" s="76" t="s">
        <v>89</v>
      </c>
      <c r="E2062" s="76">
        <v>0.1</v>
      </c>
      <c r="F2062" s="76" t="s">
        <v>44</v>
      </c>
      <c r="G2062" s="76"/>
      <c r="H2062" s="76"/>
      <c r="I2062" s="76" t="s">
        <v>38</v>
      </c>
      <c r="J2062" s="83" t="s">
        <v>2371</v>
      </c>
      <c r="K2062" s="24"/>
    </row>
    <row r="2063" outlineLevel="1" spans="1:11">
      <c r="A2063" s="24"/>
      <c r="B2063" s="81" t="str">
        <f t="shared" si="52"/>
        <v>144D</v>
      </c>
      <c r="C2063" s="69" t="s">
        <v>2372</v>
      </c>
      <c r="D2063" s="76" t="s">
        <v>89</v>
      </c>
      <c r="E2063" s="76">
        <v>0.01</v>
      </c>
      <c r="F2063" s="76" t="s">
        <v>303</v>
      </c>
      <c r="G2063" s="76"/>
      <c r="H2063" s="76"/>
      <c r="I2063" s="76" t="s">
        <v>38</v>
      </c>
      <c r="J2063" s="83" t="s">
        <v>2373</v>
      </c>
      <c r="K2063" s="24"/>
    </row>
    <row r="2064" outlineLevel="1" spans="1:11">
      <c r="A2064" s="24"/>
      <c r="B2064" s="81" t="str">
        <f t="shared" si="52"/>
        <v>144E</v>
      </c>
      <c r="C2064" s="69" t="s">
        <v>2374</v>
      </c>
      <c r="D2064" s="76" t="s">
        <v>89</v>
      </c>
      <c r="E2064" s="76">
        <v>0.1</v>
      </c>
      <c r="F2064" s="76" t="s">
        <v>44</v>
      </c>
      <c r="G2064" s="76"/>
      <c r="H2064" s="76"/>
      <c r="I2064" s="76" t="s">
        <v>38</v>
      </c>
      <c r="J2064" s="83" t="s">
        <v>2375</v>
      </c>
      <c r="K2064" s="24"/>
    </row>
    <row r="2065" outlineLevel="1" spans="1:11">
      <c r="A2065" s="24"/>
      <c r="B2065" s="81" t="str">
        <f t="shared" si="52"/>
        <v>144F</v>
      </c>
      <c r="C2065" s="69" t="s">
        <v>2376</v>
      </c>
      <c r="D2065" s="76" t="s">
        <v>89</v>
      </c>
      <c r="E2065" s="76">
        <v>0.01</v>
      </c>
      <c r="F2065" s="76" t="s">
        <v>303</v>
      </c>
      <c r="G2065" s="76"/>
      <c r="H2065" s="76"/>
      <c r="I2065" s="76" t="s">
        <v>38</v>
      </c>
      <c r="J2065" s="83" t="s">
        <v>2377</v>
      </c>
      <c r="K2065" s="24"/>
    </row>
    <row r="2066" outlineLevel="1" spans="1:11">
      <c r="A2066" s="24"/>
      <c r="B2066" s="81" t="str">
        <f t="shared" si="52"/>
        <v>1450</v>
      </c>
      <c r="C2066" s="69" t="s">
        <v>2378</v>
      </c>
      <c r="D2066" s="76" t="s">
        <v>89</v>
      </c>
      <c r="E2066" s="76">
        <v>0.1</v>
      </c>
      <c r="F2066" s="76" t="s">
        <v>44</v>
      </c>
      <c r="G2066" s="76"/>
      <c r="H2066" s="76"/>
      <c r="I2066" s="76" t="s">
        <v>38</v>
      </c>
      <c r="J2066" s="83" t="s">
        <v>2379</v>
      </c>
      <c r="K2066" s="24"/>
    </row>
    <row r="2067" outlineLevel="1" spans="1:11">
      <c r="A2067" s="24"/>
      <c r="B2067" s="81" t="str">
        <f t="shared" ref="B2067:B2133" si="53">DEC2HEX(4928+ROW()-ROW($B$1794),4)</f>
        <v>1451</v>
      </c>
      <c r="C2067" s="69" t="s">
        <v>2380</v>
      </c>
      <c r="D2067" s="76" t="s">
        <v>89</v>
      </c>
      <c r="E2067" s="76">
        <v>0.01</v>
      </c>
      <c r="F2067" s="76" t="s">
        <v>303</v>
      </c>
      <c r="G2067" s="76"/>
      <c r="H2067" s="76"/>
      <c r="I2067" s="76" t="s">
        <v>38</v>
      </c>
      <c r="J2067" s="83" t="s">
        <v>2381</v>
      </c>
      <c r="K2067" s="24"/>
    </row>
    <row r="2068" outlineLevel="1" spans="1:11">
      <c r="A2068" s="24"/>
      <c r="B2068" s="81" t="str">
        <f t="shared" si="53"/>
        <v>1452</v>
      </c>
      <c r="C2068" s="69" t="s">
        <v>2382</v>
      </c>
      <c r="D2068" s="76" t="s">
        <v>89</v>
      </c>
      <c r="E2068" s="76">
        <v>0.1</v>
      </c>
      <c r="F2068" s="76" t="s">
        <v>44</v>
      </c>
      <c r="G2068" s="76"/>
      <c r="H2068" s="76"/>
      <c r="I2068" s="76" t="s">
        <v>38</v>
      </c>
      <c r="J2068" s="83" t="s">
        <v>2383</v>
      </c>
      <c r="K2068" s="24"/>
    </row>
    <row r="2069" outlineLevel="1" spans="1:11">
      <c r="A2069" s="24"/>
      <c r="B2069" s="81" t="str">
        <f t="shared" si="53"/>
        <v>1453</v>
      </c>
      <c r="C2069" s="69" t="s">
        <v>2384</v>
      </c>
      <c r="D2069" s="76" t="s">
        <v>89</v>
      </c>
      <c r="E2069" s="76">
        <v>0.01</v>
      </c>
      <c r="F2069" s="76" t="s">
        <v>303</v>
      </c>
      <c r="G2069" s="76"/>
      <c r="H2069" s="76"/>
      <c r="I2069" s="76" t="s">
        <v>38</v>
      </c>
      <c r="J2069" s="83" t="s">
        <v>2385</v>
      </c>
      <c r="K2069" s="24"/>
    </row>
    <row r="2070" outlineLevel="1" spans="1:11">
      <c r="A2070" s="24"/>
      <c r="B2070" s="81" t="str">
        <f t="shared" si="53"/>
        <v>1454</v>
      </c>
      <c r="C2070" s="69" t="s">
        <v>2386</v>
      </c>
      <c r="D2070" s="76" t="s">
        <v>89</v>
      </c>
      <c r="E2070" s="76">
        <v>0.1</v>
      </c>
      <c r="F2070" s="76" t="s">
        <v>44</v>
      </c>
      <c r="G2070" s="76"/>
      <c r="H2070" s="76"/>
      <c r="I2070" s="76" t="s">
        <v>38</v>
      </c>
      <c r="J2070" s="83" t="s">
        <v>2387</v>
      </c>
      <c r="K2070" s="24"/>
    </row>
    <row r="2071" outlineLevel="1" spans="1:11">
      <c r="A2071" s="24"/>
      <c r="B2071" s="81" t="str">
        <f t="shared" si="53"/>
        <v>1455</v>
      </c>
      <c r="C2071" s="69" t="s">
        <v>2388</v>
      </c>
      <c r="D2071" s="76" t="s">
        <v>89</v>
      </c>
      <c r="E2071" s="76">
        <v>0.01</v>
      </c>
      <c r="F2071" s="76" t="s">
        <v>303</v>
      </c>
      <c r="G2071" s="76"/>
      <c r="H2071" s="76"/>
      <c r="I2071" s="76" t="s">
        <v>38</v>
      </c>
      <c r="J2071" s="83" t="s">
        <v>2389</v>
      </c>
      <c r="K2071" s="24"/>
    </row>
    <row r="2072" outlineLevel="1" spans="1:11">
      <c r="A2072" s="24"/>
      <c r="B2072" s="81" t="str">
        <f t="shared" si="53"/>
        <v>1456</v>
      </c>
      <c r="C2072" s="69" t="s">
        <v>2390</v>
      </c>
      <c r="D2072" s="76" t="s">
        <v>89</v>
      </c>
      <c r="E2072" s="76">
        <v>0.1</v>
      </c>
      <c r="F2072" s="76" t="s">
        <v>44</v>
      </c>
      <c r="G2072" s="76"/>
      <c r="H2072" s="76"/>
      <c r="I2072" s="76" t="s">
        <v>38</v>
      </c>
      <c r="J2072" s="83" t="s">
        <v>2391</v>
      </c>
      <c r="K2072" s="24"/>
    </row>
    <row r="2073" outlineLevel="1" spans="1:11">
      <c r="A2073" s="24"/>
      <c r="B2073" s="81" t="str">
        <f t="shared" si="53"/>
        <v>1457</v>
      </c>
      <c r="C2073" s="69" t="s">
        <v>2392</v>
      </c>
      <c r="D2073" s="76" t="s">
        <v>89</v>
      </c>
      <c r="E2073" s="76">
        <v>0.01</v>
      </c>
      <c r="F2073" s="76" t="s">
        <v>303</v>
      </c>
      <c r="G2073" s="76"/>
      <c r="H2073" s="76"/>
      <c r="I2073" s="76" t="s">
        <v>38</v>
      </c>
      <c r="J2073" s="83" t="s">
        <v>2393</v>
      </c>
      <c r="K2073" s="24"/>
    </row>
    <row r="2074" outlineLevel="1" spans="1:11">
      <c r="A2074" s="24"/>
      <c r="B2074" s="81" t="str">
        <f t="shared" si="53"/>
        <v>1458</v>
      </c>
      <c r="C2074" s="69" t="s">
        <v>2394</v>
      </c>
      <c r="D2074" s="76" t="s">
        <v>89</v>
      </c>
      <c r="E2074" s="76">
        <v>0.1</v>
      </c>
      <c r="F2074" s="76" t="s">
        <v>44</v>
      </c>
      <c r="G2074" s="76"/>
      <c r="H2074" s="76"/>
      <c r="I2074" s="76" t="s">
        <v>38</v>
      </c>
      <c r="J2074" s="83" t="s">
        <v>2395</v>
      </c>
      <c r="K2074" s="24"/>
    </row>
    <row r="2075" outlineLevel="1" spans="1:11">
      <c r="A2075" s="24"/>
      <c r="B2075" s="81" t="str">
        <f t="shared" si="53"/>
        <v>1459</v>
      </c>
      <c r="C2075" s="69" t="s">
        <v>2396</v>
      </c>
      <c r="D2075" s="76" t="s">
        <v>89</v>
      </c>
      <c r="E2075" s="76">
        <v>0.01</v>
      </c>
      <c r="F2075" s="76" t="s">
        <v>303</v>
      </c>
      <c r="G2075" s="76"/>
      <c r="H2075" s="76"/>
      <c r="I2075" s="76" t="s">
        <v>38</v>
      </c>
      <c r="J2075" s="83" t="s">
        <v>2397</v>
      </c>
      <c r="K2075" s="24"/>
    </row>
    <row r="2076" outlineLevel="1" spans="1:11">
      <c r="A2076" s="24"/>
      <c r="B2076" s="81" t="str">
        <f t="shared" si="53"/>
        <v>145A</v>
      </c>
      <c r="C2076" s="69" t="s">
        <v>2398</v>
      </c>
      <c r="D2076" s="76" t="s">
        <v>89</v>
      </c>
      <c r="E2076" s="76">
        <v>0.1</v>
      </c>
      <c r="F2076" s="76" t="s">
        <v>44</v>
      </c>
      <c r="G2076" s="76"/>
      <c r="H2076" s="76"/>
      <c r="I2076" s="76" t="s">
        <v>38</v>
      </c>
      <c r="J2076" s="83" t="s">
        <v>2399</v>
      </c>
      <c r="K2076" s="24"/>
    </row>
    <row r="2077" outlineLevel="1" spans="1:11">
      <c r="A2077" s="24"/>
      <c r="B2077" s="81" t="str">
        <f t="shared" si="53"/>
        <v>145B</v>
      </c>
      <c r="C2077" s="69" t="s">
        <v>2400</v>
      </c>
      <c r="D2077" s="76" t="s">
        <v>89</v>
      </c>
      <c r="E2077" s="76">
        <v>0.01</v>
      </c>
      <c r="F2077" s="76" t="s">
        <v>303</v>
      </c>
      <c r="G2077" s="76"/>
      <c r="H2077" s="76"/>
      <c r="I2077" s="76" t="s">
        <v>38</v>
      </c>
      <c r="J2077" s="83" t="s">
        <v>2401</v>
      </c>
      <c r="K2077" s="24"/>
    </row>
    <row r="2078" outlineLevel="1" spans="1:11">
      <c r="A2078" s="24"/>
      <c r="B2078" s="81" t="str">
        <f t="shared" si="53"/>
        <v>145C</v>
      </c>
      <c r="C2078" s="69" t="s">
        <v>2402</v>
      </c>
      <c r="D2078" s="76" t="s">
        <v>89</v>
      </c>
      <c r="E2078" s="76">
        <v>0.1</v>
      </c>
      <c r="F2078" s="76" t="s">
        <v>44</v>
      </c>
      <c r="G2078" s="76"/>
      <c r="H2078" s="76"/>
      <c r="I2078" s="76" t="s">
        <v>38</v>
      </c>
      <c r="J2078" s="83" t="s">
        <v>2403</v>
      </c>
      <c r="K2078" s="24"/>
    </row>
    <row r="2079" outlineLevel="1" spans="1:11">
      <c r="A2079" s="24"/>
      <c r="B2079" s="81" t="str">
        <f t="shared" si="53"/>
        <v>145D</v>
      </c>
      <c r="C2079" s="69" t="s">
        <v>2404</v>
      </c>
      <c r="D2079" s="76" t="s">
        <v>89</v>
      </c>
      <c r="E2079" s="76">
        <v>0.01</v>
      </c>
      <c r="F2079" s="76" t="s">
        <v>303</v>
      </c>
      <c r="G2079" s="76"/>
      <c r="H2079" s="76"/>
      <c r="I2079" s="76" t="s">
        <v>38</v>
      </c>
      <c r="J2079" s="83" t="s">
        <v>2405</v>
      </c>
      <c r="K2079" s="24"/>
    </row>
    <row r="2080" outlineLevel="1" spans="1:11">
      <c r="A2080" s="24"/>
      <c r="B2080" s="81" t="str">
        <f t="shared" si="53"/>
        <v>145E</v>
      </c>
      <c r="C2080" s="69" t="s">
        <v>2406</v>
      </c>
      <c r="D2080" s="76" t="s">
        <v>89</v>
      </c>
      <c r="E2080" s="76">
        <v>0.1</v>
      </c>
      <c r="F2080" s="76" t="s">
        <v>44</v>
      </c>
      <c r="G2080" s="76"/>
      <c r="H2080" s="76"/>
      <c r="I2080" s="76" t="s">
        <v>38</v>
      </c>
      <c r="J2080" s="83" t="s">
        <v>2407</v>
      </c>
      <c r="K2080" s="24"/>
    </row>
    <row r="2081" outlineLevel="1" spans="1:11">
      <c r="A2081" s="24"/>
      <c r="B2081" s="81" t="str">
        <f t="shared" si="53"/>
        <v>145F</v>
      </c>
      <c r="C2081" s="69" t="s">
        <v>2408</v>
      </c>
      <c r="D2081" s="76" t="s">
        <v>89</v>
      </c>
      <c r="E2081" s="76">
        <v>0.01</v>
      </c>
      <c r="F2081" s="76" t="s">
        <v>303</v>
      </c>
      <c r="G2081" s="76"/>
      <c r="H2081" s="76"/>
      <c r="I2081" s="76" t="s">
        <v>38</v>
      </c>
      <c r="J2081" s="83" t="s">
        <v>2409</v>
      </c>
      <c r="K2081" s="24"/>
    </row>
    <row r="2082" outlineLevel="1" spans="1:11">
      <c r="A2082" s="24"/>
      <c r="B2082" s="81" t="str">
        <f t="shared" si="53"/>
        <v>1460</v>
      </c>
      <c r="C2082" s="69" t="s">
        <v>2410</v>
      </c>
      <c r="D2082" s="76" t="s">
        <v>89</v>
      </c>
      <c r="E2082" s="76">
        <v>0.1</v>
      </c>
      <c r="F2082" s="76" t="s">
        <v>44</v>
      </c>
      <c r="G2082" s="76"/>
      <c r="H2082" s="76"/>
      <c r="I2082" s="76" t="s">
        <v>38</v>
      </c>
      <c r="J2082" s="83" t="s">
        <v>2411</v>
      </c>
      <c r="K2082" s="24"/>
    </row>
    <row r="2083" outlineLevel="1" spans="1:11">
      <c r="A2083" s="24"/>
      <c r="B2083" s="81" t="str">
        <f t="shared" si="53"/>
        <v>1461</v>
      </c>
      <c r="C2083" s="69" t="s">
        <v>2412</v>
      </c>
      <c r="D2083" s="76" t="s">
        <v>89</v>
      </c>
      <c r="E2083" s="76">
        <v>0.01</v>
      </c>
      <c r="F2083" s="76" t="s">
        <v>303</v>
      </c>
      <c r="G2083" s="76"/>
      <c r="H2083" s="76"/>
      <c r="I2083" s="76" t="s">
        <v>38</v>
      </c>
      <c r="J2083" s="83" t="s">
        <v>2413</v>
      </c>
      <c r="K2083" s="24"/>
    </row>
    <row r="2084" outlineLevel="1" spans="1:11">
      <c r="A2084" s="24"/>
      <c r="B2084" s="81" t="str">
        <f t="shared" si="53"/>
        <v>1462</v>
      </c>
      <c r="C2084" s="69" t="s">
        <v>2414</v>
      </c>
      <c r="D2084" s="76" t="s">
        <v>89</v>
      </c>
      <c r="E2084" s="76">
        <v>0.1</v>
      </c>
      <c r="F2084" s="76" t="s">
        <v>44</v>
      </c>
      <c r="G2084" s="76"/>
      <c r="H2084" s="76"/>
      <c r="I2084" s="76" t="s">
        <v>38</v>
      </c>
      <c r="J2084" s="83" t="s">
        <v>2415</v>
      </c>
      <c r="K2084" s="24"/>
    </row>
    <row r="2085" outlineLevel="1" spans="1:11">
      <c r="A2085" s="24"/>
      <c r="B2085" s="81" t="str">
        <f t="shared" si="53"/>
        <v>1463</v>
      </c>
      <c r="C2085" s="69" t="s">
        <v>2416</v>
      </c>
      <c r="D2085" s="76" t="s">
        <v>89</v>
      </c>
      <c r="E2085" s="76">
        <v>0.01</v>
      </c>
      <c r="F2085" s="76" t="s">
        <v>303</v>
      </c>
      <c r="G2085" s="76"/>
      <c r="H2085" s="76"/>
      <c r="I2085" s="76" t="s">
        <v>38</v>
      </c>
      <c r="J2085" s="83" t="s">
        <v>2417</v>
      </c>
      <c r="K2085" s="24"/>
    </row>
    <row r="2086" outlineLevel="1" spans="1:11">
      <c r="A2086" s="24"/>
      <c r="B2086" s="81" t="str">
        <f t="shared" si="53"/>
        <v>1464</v>
      </c>
      <c r="C2086" s="69" t="s">
        <v>2418</v>
      </c>
      <c r="D2086" s="76" t="s">
        <v>89</v>
      </c>
      <c r="E2086" s="76">
        <v>0.1</v>
      </c>
      <c r="F2086" s="76" t="s">
        <v>44</v>
      </c>
      <c r="G2086" s="76"/>
      <c r="H2086" s="76"/>
      <c r="I2086" s="76" t="s">
        <v>38</v>
      </c>
      <c r="J2086" s="83" t="s">
        <v>2419</v>
      </c>
      <c r="K2086" s="24"/>
    </row>
    <row r="2087" outlineLevel="1" spans="1:11">
      <c r="A2087" s="24"/>
      <c r="B2087" s="81" t="str">
        <f t="shared" si="53"/>
        <v>1465</v>
      </c>
      <c r="C2087" s="69" t="s">
        <v>2420</v>
      </c>
      <c r="D2087" s="76" t="s">
        <v>89</v>
      </c>
      <c r="E2087" s="76">
        <v>0.01</v>
      </c>
      <c r="F2087" s="76" t="s">
        <v>303</v>
      </c>
      <c r="G2087" s="76"/>
      <c r="H2087" s="76"/>
      <c r="I2087" s="76" t="s">
        <v>38</v>
      </c>
      <c r="J2087" s="83" t="s">
        <v>2421</v>
      </c>
      <c r="K2087" s="24"/>
    </row>
    <row r="2088" outlineLevel="1" spans="1:11">
      <c r="A2088" s="24"/>
      <c r="B2088" s="81" t="str">
        <f t="shared" si="53"/>
        <v>1466</v>
      </c>
      <c r="C2088" s="69" t="s">
        <v>2422</v>
      </c>
      <c r="D2088" s="76" t="s">
        <v>89</v>
      </c>
      <c r="E2088" s="76">
        <v>0.1</v>
      </c>
      <c r="F2088" s="76" t="s">
        <v>44</v>
      </c>
      <c r="G2088" s="76"/>
      <c r="H2088" s="76"/>
      <c r="I2088" s="76" t="s">
        <v>38</v>
      </c>
      <c r="J2088" s="83" t="s">
        <v>2423</v>
      </c>
      <c r="K2088" s="24"/>
    </row>
    <row r="2089" outlineLevel="1" spans="1:11">
      <c r="A2089" s="24"/>
      <c r="B2089" s="81" t="str">
        <f t="shared" si="53"/>
        <v>1467</v>
      </c>
      <c r="C2089" s="69" t="s">
        <v>2424</v>
      </c>
      <c r="D2089" s="76" t="s">
        <v>89</v>
      </c>
      <c r="E2089" s="76">
        <v>0.01</v>
      </c>
      <c r="F2089" s="76" t="s">
        <v>303</v>
      </c>
      <c r="G2089" s="76"/>
      <c r="H2089" s="76"/>
      <c r="I2089" s="76" t="s">
        <v>38</v>
      </c>
      <c r="J2089" s="83" t="s">
        <v>2425</v>
      </c>
      <c r="K2089" s="24"/>
    </row>
    <row r="2090" outlineLevel="1" spans="1:11">
      <c r="A2090" s="24"/>
      <c r="B2090" s="81" t="str">
        <f t="shared" si="53"/>
        <v>1468</v>
      </c>
      <c r="C2090" s="69" t="s">
        <v>2426</v>
      </c>
      <c r="D2090" s="76" t="s">
        <v>89</v>
      </c>
      <c r="E2090" s="76">
        <v>0.1</v>
      </c>
      <c r="F2090" s="76" t="s">
        <v>44</v>
      </c>
      <c r="G2090" s="76"/>
      <c r="H2090" s="76"/>
      <c r="I2090" s="76" t="s">
        <v>38</v>
      </c>
      <c r="J2090" s="83" t="s">
        <v>2427</v>
      </c>
      <c r="K2090" s="24"/>
    </row>
    <row r="2091" outlineLevel="1" spans="1:11">
      <c r="A2091" s="24"/>
      <c r="B2091" s="81" t="str">
        <f t="shared" si="53"/>
        <v>1469</v>
      </c>
      <c r="C2091" s="69" t="s">
        <v>2428</v>
      </c>
      <c r="D2091" s="76" t="s">
        <v>89</v>
      </c>
      <c r="E2091" s="76">
        <v>0.01</v>
      </c>
      <c r="F2091" s="76" t="s">
        <v>303</v>
      </c>
      <c r="G2091" s="76"/>
      <c r="H2091" s="76"/>
      <c r="I2091" s="76" t="s">
        <v>38</v>
      </c>
      <c r="J2091" s="83" t="s">
        <v>2429</v>
      </c>
      <c r="K2091" s="24"/>
    </row>
    <row r="2092" outlineLevel="1" spans="1:11">
      <c r="A2092" s="24"/>
      <c r="B2092" s="81" t="str">
        <f t="shared" si="53"/>
        <v>146A</v>
      </c>
      <c r="C2092" s="69" t="s">
        <v>2430</v>
      </c>
      <c r="D2092" s="76" t="s">
        <v>89</v>
      </c>
      <c r="E2092" s="76">
        <v>0.1</v>
      </c>
      <c r="F2092" s="76" t="s">
        <v>44</v>
      </c>
      <c r="G2092" s="76"/>
      <c r="H2092" s="76"/>
      <c r="I2092" s="76" t="s">
        <v>38</v>
      </c>
      <c r="J2092" s="83" t="s">
        <v>2431</v>
      </c>
      <c r="K2092" s="24"/>
    </row>
    <row r="2093" outlineLevel="1" spans="1:11">
      <c r="A2093" s="24"/>
      <c r="B2093" s="81" t="str">
        <f t="shared" si="53"/>
        <v>146B</v>
      </c>
      <c r="C2093" s="69" t="s">
        <v>2432</v>
      </c>
      <c r="D2093" s="76" t="s">
        <v>89</v>
      </c>
      <c r="E2093" s="76">
        <v>0.01</v>
      </c>
      <c r="F2093" s="76" t="s">
        <v>303</v>
      </c>
      <c r="G2093" s="76"/>
      <c r="H2093" s="76"/>
      <c r="I2093" s="76" t="s">
        <v>38</v>
      </c>
      <c r="J2093" s="83" t="s">
        <v>2433</v>
      </c>
      <c r="K2093" s="24"/>
    </row>
    <row r="2094" outlineLevel="1" spans="1:11">
      <c r="A2094" s="24"/>
      <c r="B2094" s="81" t="str">
        <f t="shared" si="53"/>
        <v>146C</v>
      </c>
      <c r="C2094" s="69" t="s">
        <v>2434</v>
      </c>
      <c r="D2094" s="76" t="s">
        <v>89</v>
      </c>
      <c r="E2094" s="76">
        <v>0.1</v>
      </c>
      <c r="F2094" s="76" t="s">
        <v>44</v>
      </c>
      <c r="G2094" s="76"/>
      <c r="H2094" s="76"/>
      <c r="I2094" s="76" t="s">
        <v>38</v>
      </c>
      <c r="J2094" s="83" t="s">
        <v>2435</v>
      </c>
      <c r="K2094" s="24"/>
    </row>
    <row r="2095" outlineLevel="1" spans="1:11">
      <c r="A2095" s="24"/>
      <c r="B2095" s="81" t="str">
        <f t="shared" si="53"/>
        <v>146D</v>
      </c>
      <c r="C2095" s="69" t="s">
        <v>2436</v>
      </c>
      <c r="D2095" s="76" t="s">
        <v>89</v>
      </c>
      <c r="E2095" s="76">
        <v>0.01</v>
      </c>
      <c r="F2095" s="76" t="s">
        <v>303</v>
      </c>
      <c r="G2095" s="76"/>
      <c r="H2095" s="76"/>
      <c r="I2095" s="76" t="s">
        <v>38</v>
      </c>
      <c r="J2095" s="83" t="s">
        <v>2437</v>
      </c>
      <c r="K2095" s="24"/>
    </row>
    <row r="2096" outlineLevel="1" spans="1:11">
      <c r="A2096" s="24"/>
      <c r="B2096" s="81" t="str">
        <f t="shared" si="53"/>
        <v>146E</v>
      </c>
      <c r="C2096" s="69" t="s">
        <v>2438</v>
      </c>
      <c r="D2096" s="76" t="s">
        <v>89</v>
      </c>
      <c r="E2096" s="76">
        <v>0.1</v>
      </c>
      <c r="F2096" s="76" t="s">
        <v>44</v>
      </c>
      <c r="G2096" s="76"/>
      <c r="H2096" s="76"/>
      <c r="I2096" s="76" t="s">
        <v>38</v>
      </c>
      <c r="J2096" s="83" t="s">
        <v>2439</v>
      </c>
      <c r="K2096" s="24"/>
    </row>
    <row r="2097" outlineLevel="1" spans="1:11">
      <c r="A2097" s="24"/>
      <c r="B2097" s="81" t="str">
        <f t="shared" si="53"/>
        <v>146F</v>
      </c>
      <c r="C2097" s="69" t="s">
        <v>2440</v>
      </c>
      <c r="D2097" s="76" t="s">
        <v>89</v>
      </c>
      <c r="E2097" s="76">
        <v>0.01</v>
      </c>
      <c r="F2097" s="76" t="s">
        <v>303</v>
      </c>
      <c r="G2097" s="76"/>
      <c r="H2097" s="76"/>
      <c r="I2097" s="76" t="s">
        <v>38</v>
      </c>
      <c r="J2097" s="83" t="s">
        <v>2441</v>
      </c>
      <c r="K2097" s="24"/>
    </row>
    <row r="2098" outlineLevel="1" spans="1:11">
      <c r="A2098" s="24"/>
      <c r="B2098" s="81" t="str">
        <f t="shared" si="53"/>
        <v>1470</v>
      </c>
      <c r="C2098" s="69" t="s">
        <v>2442</v>
      </c>
      <c r="D2098" s="76" t="s">
        <v>89</v>
      </c>
      <c r="E2098" s="76">
        <v>0.1</v>
      </c>
      <c r="F2098" s="76" t="s">
        <v>44</v>
      </c>
      <c r="G2098" s="76"/>
      <c r="H2098" s="76"/>
      <c r="I2098" s="76" t="s">
        <v>38</v>
      </c>
      <c r="J2098" s="83" t="s">
        <v>2443</v>
      </c>
      <c r="K2098" s="24"/>
    </row>
    <row r="2099" outlineLevel="1" spans="1:11">
      <c r="A2099" s="24"/>
      <c r="B2099" s="81" t="str">
        <f t="shared" si="53"/>
        <v>1471</v>
      </c>
      <c r="C2099" s="69" t="s">
        <v>2444</v>
      </c>
      <c r="D2099" s="76" t="s">
        <v>89</v>
      </c>
      <c r="E2099" s="76">
        <v>0.01</v>
      </c>
      <c r="F2099" s="76" t="s">
        <v>303</v>
      </c>
      <c r="G2099" s="76"/>
      <c r="H2099" s="76"/>
      <c r="I2099" s="76" t="s">
        <v>38</v>
      </c>
      <c r="J2099" s="83" t="s">
        <v>2445</v>
      </c>
      <c r="K2099" s="24"/>
    </row>
    <row r="2100" outlineLevel="1" spans="1:11">
      <c r="A2100" s="24"/>
      <c r="B2100" s="81" t="str">
        <f t="shared" si="53"/>
        <v>1472</v>
      </c>
      <c r="C2100" s="69" t="s">
        <v>2446</v>
      </c>
      <c r="D2100" s="76" t="s">
        <v>89</v>
      </c>
      <c r="E2100" s="76">
        <v>0.1</v>
      </c>
      <c r="F2100" s="76" t="s">
        <v>44</v>
      </c>
      <c r="G2100" s="76"/>
      <c r="H2100" s="76"/>
      <c r="I2100" s="76" t="s">
        <v>38</v>
      </c>
      <c r="J2100" s="83" t="s">
        <v>2447</v>
      </c>
      <c r="K2100" s="24"/>
    </row>
    <row r="2101" outlineLevel="1" spans="1:11">
      <c r="A2101" s="24"/>
      <c r="B2101" s="81" t="str">
        <f t="shared" si="53"/>
        <v>1473</v>
      </c>
      <c r="C2101" s="69" t="s">
        <v>2448</v>
      </c>
      <c r="D2101" s="76" t="s">
        <v>89</v>
      </c>
      <c r="E2101" s="76">
        <v>0.01</v>
      </c>
      <c r="F2101" s="76" t="s">
        <v>303</v>
      </c>
      <c r="G2101" s="76"/>
      <c r="H2101" s="76"/>
      <c r="I2101" s="76" t="s">
        <v>38</v>
      </c>
      <c r="J2101" s="83" t="s">
        <v>2449</v>
      </c>
      <c r="K2101" s="24"/>
    </row>
    <row r="2102" outlineLevel="1" spans="1:11">
      <c r="A2102" s="24"/>
      <c r="B2102" s="81" t="str">
        <f t="shared" si="53"/>
        <v>1474</v>
      </c>
      <c r="C2102" s="69" t="s">
        <v>2450</v>
      </c>
      <c r="D2102" s="76" t="s">
        <v>89</v>
      </c>
      <c r="E2102" s="76">
        <v>0.1</v>
      </c>
      <c r="F2102" s="76" t="s">
        <v>44</v>
      </c>
      <c r="G2102" s="76"/>
      <c r="H2102" s="76"/>
      <c r="I2102" s="76" t="s">
        <v>38</v>
      </c>
      <c r="J2102" s="83" t="s">
        <v>2451</v>
      </c>
      <c r="K2102" s="24"/>
    </row>
    <row r="2103" outlineLevel="1" spans="1:11">
      <c r="A2103" s="24"/>
      <c r="B2103" s="81" t="str">
        <f t="shared" si="53"/>
        <v>1475</v>
      </c>
      <c r="C2103" s="69" t="s">
        <v>2452</v>
      </c>
      <c r="D2103" s="76" t="s">
        <v>89</v>
      </c>
      <c r="E2103" s="76">
        <v>0.01</v>
      </c>
      <c r="F2103" s="76" t="s">
        <v>303</v>
      </c>
      <c r="G2103" s="76"/>
      <c r="H2103" s="76"/>
      <c r="I2103" s="76" t="s">
        <v>38</v>
      </c>
      <c r="J2103" s="83" t="s">
        <v>2453</v>
      </c>
      <c r="K2103" s="24"/>
    </row>
    <row r="2104" outlineLevel="1" spans="1:11">
      <c r="A2104" s="24"/>
      <c r="B2104" s="81" t="str">
        <f t="shared" si="53"/>
        <v>1476</v>
      </c>
      <c r="C2104" s="69" t="s">
        <v>2454</v>
      </c>
      <c r="D2104" s="76" t="s">
        <v>89</v>
      </c>
      <c r="E2104" s="76">
        <v>0.1</v>
      </c>
      <c r="F2104" s="76" t="s">
        <v>44</v>
      </c>
      <c r="G2104" s="76"/>
      <c r="H2104" s="76"/>
      <c r="I2104" s="76" t="s">
        <v>38</v>
      </c>
      <c r="J2104" s="83" t="s">
        <v>2455</v>
      </c>
      <c r="K2104" s="24"/>
    </row>
    <row r="2105" outlineLevel="1" spans="1:11">
      <c r="A2105" s="24"/>
      <c r="B2105" s="81" t="str">
        <f t="shared" si="53"/>
        <v>1477</v>
      </c>
      <c r="C2105" s="69" t="s">
        <v>2456</v>
      </c>
      <c r="D2105" s="76" t="s">
        <v>89</v>
      </c>
      <c r="E2105" s="76">
        <v>0.01</v>
      </c>
      <c r="F2105" s="76" t="s">
        <v>303</v>
      </c>
      <c r="G2105" s="76"/>
      <c r="H2105" s="76"/>
      <c r="I2105" s="76" t="s">
        <v>38</v>
      </c>
      <c r="J2105" s="83" t="s">
        <v>2457</v>
      </c>
      <c r="K2105" s="24"/>
    </row>
    <row r="2106" outlineLevel="1" spans="1:11">
      <c r="A2106" s="24"/>
      <c r="B2106" s="81" t="str">
        <f t="shared" si="53"/>
        <v>1478</v>
      </c>
      <c r="C2106" s="69" t="s">
        <v>2458</v>
      </c>
      <c r="D2106" s="76" t="s">
        <v>89</v>
      </c>
      <c r="E2106" s="76">
        <v>0.1</v>
      </c>
      <c r="F2106" s="76" t="s">
        <v>44</v>
      </c>
      <c r="G2106" s="76"/>
      <c r="H2106" s="76"/>
      <c r="I2106" s="76" t="s">
        <v>38</v>
      </c>
      <c r="J2106" s="83" t="s">
        <v>2459</v>
      </c>
      <c r="K2106" s="24"/>
    </row>
    <row r="2107" outlineLevel="1" spans="1:11">
      <c r="A2107" s="24"/>
      <c r="B2107" s="81" t="str">
        <f t="shared" si="53"/>
        <v>1479</v>
      </c>
      <c r="C2107" s="69" t="s">
        <v>2460</v>
      </c>
      <c r="D2107" s="76" t="s">
        <v>89</v>
      </c>
      <c r="E2107" s="76">
        <v>0.01</v>
      </c>
      <c r="F2107" s="76" t="s">
        <v>303</v>
      </c>
      <c r="G2107" s="76"/>
      <c r="H2107" s="76"/>
      <c r="I2107" s="76" t="s">
        <v>38</v>
      </c>
      <c r="J2107" s="83" t="s">
        <v>2461</v>
      </c>
      <c r="K2107" s="24"/>
    </row>
    <row r="2108" outlineLevel="1" spans="1:11">
      <c r="A2108" s="24"/>
      <c r="B2108" s="81" t="str">
        <f t="shared" si="53"/>
        <v>147A</v>
      </c>
      <c r="C2108" s="69" t="s">
        <v>2462</v>
      </c>
      <c r="D2108" s="76" t="s">
        <v>89</v>
      </c>
      <c r="E2108" s="76">
        <v>0.1</v>
      </c>
      <c r="F2108" s="76" t="s">
        <v>44</v>
      </c>
      <c r="G2108" s="76"/>
      <c r="H2108" s="76"/>
      <c r="I2108" s="76" t="s">
        <v>38</v>
      </c>
      <c r="J2108" s="83" t="s">
        <v>2463</v>
      </c>
      <c r="K2108" s="24"/>
    </row>
    <row r="2109" outlineLevel="1" spans="1:11">
      <c r="A2109" s="24"/>
      <c r="B2109" s="81" t="str">
        <f t="shared" si="53"/>
        <v>147B</v>
      </c>
      <c r="C2109" s="69" t="s">
        <v>2464</v>
      </c>
      <c r="D2109" s="76" t="s">
        <v>89</v>
      </c>
      <c r="E2109" s="76">
        <v>0.01</v>
      </c>
      <c r="F2109" s="76" t="s">
        <v>303</v>
      </c>
      <c r="G2109" s="76"/>
      <c r="H2109" s="76"/>
      <c r="I2109" s="76" t="s">
        <v>38</v>
      </c>
      <c r="J2109" s="83" t="s">
        <v>2465</v>
      </c>
      <c r="K2109" s="24"/>
    </row>
    <row r="2110" outlineLevel="1" spans="1:11">
      <c r="A2110" s="24"/>
      <c r="B2110" s="81" t="str">
        <f t="shared" si="53"/>
        <v>147C</v>
      </c>
      <c r="C2110" s="69" t="s">
        <v>2466</v>
      </c>
      <c r="D2110" s="76" t="s">
        <v>89</v>
      </c>
      <c r="E2110" s="76">
        <v>0.1</v>
      </c>
      <c r="F2110" s="76" t="s">
        <v>44</v>
      </c>
      <c r="G2110" s="76"/>
      <c r="H2110" s="76"/>
      <c r="I2110" s="76" t="s">
        <v>38</v>
      </c>
      <c r="J2110" s="83" t="s">
        <v>2467</v>
      </c>
      <c r="K2110" s="24"/>
    </row>
    <row r="2111" outlineLevel="1" spans="1:11">
      <c r="A2111" s="24"/>
      <c r="B2111" s="81" t="str">
        <f t="shared" si="53"/>
        <v>147D</v>
      </c>
      <c r="C2111" s="69" t="s">
        <v>2468</v>
      </c>
      <c r="D2111" s="76" t="s">
        <v>89</v>
      </c>
      <c r="E2111" s="76">
        <v>0.01</v>
      </c>
      <c r="F2111" s="76" t="s">
        <v>303</v>
      </c>
      <c r="G2111" s="76"/>
      <c r="H2111" s="76"/>
      <c r="I2111" s="76" t="s">
        <v>38</v>
      </c>
      <c r="J2111" s="83" t="s">
        <v>2469</v>
      </c>
      <c r="K2111" s="24"/>
    </row>
    <row r="2112" outlineLevel="1" spans="1:11">
      <c r="A2112" s="24"/>
      <c r="B2112" s="81" t="str">
        <f t="shared" si="53"/>
        <v>147E</v>
      </c>
      <c r="C2112" s="69" t="s">
        <v>2470</v>
      </c>
      <c r="D2112" s="76" t="s">
        <v>89</v>
      </c>
      <c r="E2112" s="76">
        <v>0.1</v>
      </c>
      <c r="F2112" s="76" t="s">
        <v>44</v>
      </c>
      <c r="G2112" s="76"/>
      <c r="H2112" s="76"/>
      <c r="I2112" s="76" t="s">
        <v>38</v>
      </c>
      <c r="J2112" s="83" t="s">
        <v>2471</v>
      </c>
      <c r="K2112" s="24"/>
    </row>
    <row r="2113" outlineLevel="1" spans="1:11">
      <c r="A2113" s="24"/>
      <c r="B2113" s="81" t="str">
        <f t="shared" si="53"/>
        <v>147F</v>
      </c>
      <c r="C2113" s="69" t="s">
        <v>2472</v>
      </c>
      <c r="D2113" s="76" t="s">
        <v>89</v>
      </c>
      <c r="E2113" s="76">
        <v>0.01</v>
      </c>
      <c r="F2113" s="76" t="s">
        <v>303</v>
      </c>
      <c r="G2113" s="76"/>
      <c r="H2113" s="76"/>
      <c r="I2113" s="76" t="s">
        <v>38</v>
      </c>
      <c r="J2113" s="83" t="s">
        <v>2473</v>
      </c>
      <c r="K2113" s="24"/>
    </row>
    <row r="2114" outlineLevel="1" spans="1:11">
      <c r="A2114" s="24"/>
      <c r="B2114" s="81" t="str">
        <f t="shared" si="53"/>
        <v>1480</v>
      </c>
      <c r="C2114" s="146" t="s">
        <v>2474</v>
      </c>
      <c r="D2114" s="87" t="s">
        <v>89</v>
      </c>
      <c r="E2114" s="76"/>
      <c r="F2114" s="76"/>
      <c r="G2114" s="76"/>
      <c r="H2114" s="76"/>
      <c r="I2114" s="76" t="s">
        <v>38</v>
      </c>
      <c r="J2114" s="83" t="s">
        <v>2475</v>
      </c>
      <c r="K2114" s="24"/>
    </row>
    <row r="2115" ht="42.75" outlineLevel="1" spans="1:11">
      <c r="A2115" s="24"/>
      <c r="B2115" s="147" t="str">
        <f t="shared" si="53"/>
        <v>1481</v>
      </c>
      <c r="C2115" s="106" t="s">
        <v>2476</v>
      </c>
      <c r="D2115" s="24" t="s">
        <v>89</v>
      </c>
      <c r="E2115" s="148"/>
      <c r="F2115" s="24"/>
      <c r="G2115" s="24"/>
      <c r="H2115" s="24"/>
      <c r="I2115" s="24" t="s">
        <v>38</v>
      </c>
      <c r="J2115" s="83" t="s">
        <v>2477</v>
      </c>
      <c r="K2115" s="24"/>
    </row>
    <row r="2116" ht="28.5" outlineLevel="1" spans="1:11">
      <c r="A2116" s="24"/>
      <c r="B2116" s="147" t="str">
        <f t="shared" si="53"/>
        <v>1482</v>
      </c>
      <c r="C2116" s="106" t="s">
        <v>2478</v>
      </c>
      <c r="D2116" s="24" t="s">
        <v>89</v>
      </c>
      <c r="E2116" s="148"/>
      <c r="F2116" s="24"/>
      <c r="G2116" s="24"/>
      <c r="H2116" s="24"/>
      <c r="I2116" s="24" t="s">
        <v>38</v>
      </c>
      <c r="J2116" s="83" t="s">
        <v>2479</v>
      </c>
      <c r="K2116" s="24"/>
    </row>
    <row r="2117" ht="28.5" outlineLevel="1" spans="1:11">
      <c r="A2117" s="24"/>
      <c r="B2117" s="147" t="str">
        <f t="shared" si="53"/>
        <v>1483</v>
      </c>
      <c r="C2117" s="106" t="s">
        <v>2480</v>
      </c>
      <c r="D2117" s="24" t="s">
        <v>89</v>
      </c>
      <c r="E2117" s="148"/>
      <c r="F2117" s="24"/>
      <c r="G2117" s="24"/>
      <c r="H2117" s="24"/>
      <c r="I2117" s="24" t="s">
        <v>38</v>
      </c>
      <c r="J2117" s="83" t="s">
        <v>2481</v>
      </c>
      <c r="K2117" s="24"/>
    </row>
    <row r="2118" outlineLevel="1" spans="1:11">
      <c r="A2118" s="24"/>
      <c r="B2118" s="81" t="str">
        <f t="shared" si="53"/>
        <v>1484</v>
      </c>
      <c r="C2118" s="146" t="s">
        <v>2482</v>
      </c>
      <c r="D2118" s="33" t="s">
        <v>89</v>
      </c>
      <c r="E2118" s="24"/>
      <c r="F2118" s="24"/>
      <c r="G2118" s="24"/>
      <c r="H2118" s="24"/>
      <c r="I2118" s="24" t="s">
        <v>38</v>
      </c>
      <c r="J2118" s="83" t="s">
        <v>2483</v>
      </c>
      <c r="K2118" s="24"/>
    </row>
    <row r="2119" ht="42.75" outlineLevel="1" spans="1:11">
      <c r="A2119" s="24"/>
      <c r="B2119" s="81" t="str">
        <f t="shared" si="53"/>
        <v>1485</v>
      </c>
      <c r="C2119" s="106" t="s">
        <v>2484</v>
      </c>
      <c r="D2119" s="24" t="s">
        <v>89</v>
      </c>
      <c r="E2119" s="24"/>
      <c r="F2119" s="24"/>
      <c r="G2119" s="24"/>
      <c r="H2119" s="24"/>
      <c r="I2119" s="24" t="s">
        <v>38</v>
      </c>
      <c r="J2119" s="83" t="s">
        <v>2477</v>
      </c>
      <c r="K2119" s="24"/>
    </row>
    <row r="2120" ht="28.5" outlineLevel="1" spans="1:11">
      <c r="A2120" s="24"/>
      <c r="B2120" s="81" t="str">
        <f t="shared" si="53"/>
        <v>1486</v>
      </c>
      <c r="C2120" s="106" t="s">
        <v>2485</v>
      </c>
      <c r="D2120" s="24" t="s">
        <v>89</v>
      </c>
      <c r="E2120" s="24"/>
      <c r="F2120" s="24"/>
      <c r="G2120" s="24"/>
      <c r="H2120" s="24"/>
      <c r="I2120" s="24" t="s">
        <v>38</v>
      </c>
      <c r="J2120" s="83" t="s">
        <v>2486</v>
      </c>
      <c r="K2120" s="24"/>
    </row>
    <row r="2121" ht="28.5" outlineLevel="1" spans="1:11">
      <c r="A2121" s="24"/>
      <c r="B2121" s="81" t="str">
        <f t="shared" si="53"/>
        <v>1487</v>
      </c>
      <c r="C2121" s="106" t="s">
        <v>2487</v>
      </c>
      <c r="D2121" s="24" t="s">
        <v>89</v>
      </c>
      <c r="E2121" s="24"/>
      <c r="F2121" s="24"/>
      <c r="G2121" s="24"/>
      <c r="H2121" s="24"/>
      <c r="I2121" s="24" t="s">
        <v>38</v>
      </c>
      <c r="J2121" s="83" t="s">
        <v>2481</v>
      </c>
      <c r="K2121" s="24"/>
    </row>
    <row r="2122" outlineLevel="1" spans="1:11">
      <c r="A2122" s="24"/>
      <c r="B2122" s="81" t="str">
        <f t="shared" si="53"/>
        <v>1488</v>
      </c>
      <c r="C2122" s="146" t="s">
        <v>2488</v>
      </c>
      <c r="D2122" s="24" t="s">
        <v>89</v>
      </c>
      <c r="E2122" s="24"/>
      <c r="F2122" s="24"/>
      <c r="G2122" s="24"/>
      <c r="H2122" s="24"/>
      <c r="I2122" s="24" t="s">
        <v>38</v>
      </c>
      <c r="J2122" s="83" t="s">
        <v>2489</v>
      </c>
      <c r="K2122" s="24"/>
    </row>
    <row r="2123" ht="42.75" outlineLevel="1" spans="1:11">
      <c r="A2123" s="24"/>
      <c r="B2123" s="81" t="str">
        <f t="shared" si="53"/>
        <v>1489</v>
      </c>
      <c r="C2123" s="106" t="s">
        <v>2490</v>
      </c>
      <c r="D2123" s="24" t="s">
        <v>89</v>
      </c>
      <c r="E2123" s="24"/>
      <c r="F2123" s="24"/>
      <c r="G2123" s="24"/>
      <c r="H2123" s="24"/>
      <c r="I2123" s="24" t="s">
        <v>38</v>
      </c>
      <c r="J2123" s="83" t="s">
        <v>2477</v>
      </c>
      <c r="K2123" s="24"/>
    </row>
    <row r="2124" ht="28.5" outlineLevel="1" spans="1:11">
      <c r="A2124" s="24"/>
      <c r="B2124" s="81" t="str">
        <f t="shared" si="53"/>
        <v>148A</v>
      </c>
      <c r="C2124" s="106" t="s">
        <v>2491</v>
      </c>
      <c r="D2124" s="24" t="s">
        <v>89</v>
      </c>
      <c r="E2124" s="24"/>
      <c r="F2124" s="24"/>
      <c r="G2124" s="24"/>
      <c r="H2124" s="24"/>
      <c r="I2124" s="24" t="s">
        <v>38</v>
      </c>
      <c r="J2124" s="83" t="s">
        <v>2486</v>
      </c>
      <c r="K2124" s="24"/>
    </row>
    <row r="2125" ht="28.5" outlineLevel="1" spans="1:11">
      <c r="A2125" s="24"/>
      <c r="B2125" s="81" t="str">
        <f t="shared" si="53"/>
        <v>148B</v>
      </c>
      <c r="C2125" s="106" t="s">
        <v>2492</v>
      </c>
      <c r="D2125" s="24" t="s">
        <v>89</v>
      </c>
      <c r="E2125" s="24"/>
      <c r="F2125" s="24"/>
      <c r="G2125" s="24"/>
      <c r="H2125" s="24"/>
      <c r="I2125" s="24" t="s">
        <v>38</v>
      </c>
      <c r="J2125" s="83" t="s">
        <v>2481</v>
      </c>
      <c r="K2125" s="24"/>
    </row>
    <row r="2126" outlineLevel="1" spans="1:11">
      <c r="A2126" s="24"/>
      <c r="B2126" s="81" t="str">
        <f t="shared" si="53"/>
        <v>148C</v>
      </c>
      <c r="C2126" s="146" t="s">
        <v>2493</v>
      </c>
      <c r="D2126" s="24" t="s">
        <v>89</v>
      </c>
      <c r="E2126" s="24"/>
      <c r="F2126" s="24"/>
      <c r="G2126" s="24"/>
      <c r="H2126" s="24"/>
      <c r="I2126" s="24" t="s">
        <v>38</v>
      </c>
      <c r="J2126" s="83" t="s">
        <v>2494</v>
      </c>
      <c r="K2126" s="24"/>
    </row>
    <row r="2127" ht="42.75" outlineLevel="1" spans="1:11">
      <c r="A2127" s="24"/>
      <c r="B2127" s="81" t="str">
        <f t="shared" si="53"/>
        <v>148D</v>
      </c>
      <c r="C2127" s="106" t="s">
        <v>2495</v>
      </c>
      <c r="D2127" s="24" t="s">
        <v>89</v>
      </c>
      <c r="E2127" s="24"/>
      <c r="F2127" s="24"/>
      <c r="G2127" s="24"/>
      <c r="H2127" s="24"/>
      <c r="I2127" s="24" t="s">
        <v>38</v>
      </c>
      <c r="J2127" s="83" t="s">
        <v>2477</v>
      </c>
      <c r="K2127" s="24"/>
    </row>
    <row r="2128" ht="28.5" outlineLevel="1" spans="1:11">
      <c r="A2128" s="24"/>
      <c r="B2128" s="81" t="str">
        <f t="shared" si="53"/>
        <v>148E</v>
      </c>
      <c r="C2128" s="106" t="s">
        <v>2496</v>
      </c>
      <c r="D2128" s="24" t="s">
        <v>89</v>
      </c>
      <c r="E2128" s="24"/>
      <c r="F2128" s="24"/>
      <c r="G2128" s="24"/>
      <c r="H2128" s="24"/>
      <c r="I2128" s="24" t="s">
        <v>38</v>
      </c>
      <c r="J2128" s="83" t="s">
        <v>2479</v>
      </c>
      <c r="K2128" s="24"/>
    </row>
    <row r="2129" ht="28.5" outlineLevel="1" spans="1:11">
      <c r="A2129" s="24"/>
      <c r="B2129" s="81" t="str">
        <f t="shared" si="53"/>
        <v>148F</v>
      </c>
      <c r="C2129" s="106" t="s">
        <v>2497</v>
      </c>
      <c r="D2129" s="24" t="s">
        <v>89</v>
      </c>
      <c r="E2129" s="24"/>
      <c r="F2129" s="24"/>
      <c r="G2129" s="24"/>
      <c r="H2129" s="24"/>
      <c r="I2129" s="24" t="s">
        <v>38</v>
      </c>
      <c r="J2129" s="83" t="s">
        <v>2481</v>
      </c>
      <c r="K2129" s="24"/>
    </row>
    <row r="2130" outlineLevel="1" spans="1:11">
      <c r="A2130" s="24"/>
      <c r="B2130" s="81" t="str">
        <f t="shared" si="53"/>
        <v>1490</v>
      </c>
      <c r="C2130" s="146" t="s">
        <v>2498</v>
      </c>
      <c r="D2130" s="24" t="s">
        <v>89</v>
      </c>
      <c r="E2130" s="24"/>
      <c r="F2130" s="24"/>
      <c r="G2130" s="24"/>
      <c r="H2130" s="24"/>
      <c r="I2130" s="24" t="s">
        <v>38</v>
      </c>
      <c r="J2130" s="83" t="s">
        <v>2499</v>
      </c>
      <c r="K2130" s="24"/>
    </row>
    <row r="2131" ht="42.75" outlineLevel="1" spans="1:11">
      <c r="A2131" s="24"/>
      <c r="B2131" s="81" t="str">
        <f t="shared" si="53"/>
        <v>1491</v>
      </c>
      <c r="C2131" s="106" t="s">
        <v>2500</v>
      </c>
      <c r="D2131" s="24" t="s">
        <v>89</v>
      </c>
      <c r="E2131" s="24"/>
      <c r="F2131" s="24"/>
      <c r="G2131" s="24"/>
      <c r="H2131" s="24"/>
      <c r="I2131" s="24" t="s">
        <v>38</v>
      </c>
      <c r="J2131" s="83" t="s">
        <v>2477</v>
      </c>
      <c r="K2131" s="24"/>
    </row>
    <row r="2132" ht="28.5" outlineLevel="1" spans="1:11">
      <c r="A2132" s="24"/>
      <c r="B2132" s="81" t="str">
        <f t="shared" si="53"/>
        <v>1492</v>
      </c>
      <c r="C2132" s="106" t="s">
        <v>2501</v>
      </c>
      <c r="D2132" s="24" t="s">
        <v>89</v>
      </c>
      <c r="E2132" s="24"/>
      <c r="F2132" s="24"/>
      <c r="G2132" s="24"/>
      <c r="H2132" s="24"/>
      <c r="I2132" s="24" t="s">
        <v>38</v>
      </c>
      <c r="J2132" s="83" t="s">
        <v>2479</v>
      </c>
      <c r="K2132" s="24"/>
    </row>
    <row r="2133" ht="28.5" outlineLevel="1" spans="1:11">
      <c r="A2133" s="24"/>
      <c r="B2133" s="81" t="str">
        <f t="shared" si="53"/>
        <v>1493</v>
      </c>
      <c r="C2133" s="106" t="s">
        <v>2502</v>
      </c>
      <c r="D2133" s="24" t="s">
        <v>89</v>
      </c>
      <c r="E2133" s="24"/>
      <c r="F2133" s="24"/>
      <c r="G2133" s="24"/>
      <c r="H2133" s="24"/>
      <c r="I2133" s="24" t="s">
        <v>38</v>
      </c>
      <c r="J2133" s="83" t="s">
        <v>2481</v>
      </c>
      <c r="K2133" s="24"/>
    </row>
    <row r="2134" outlineLevel="1" spans="1:11">
      <c r="A2134" s="24"/>
      <c r="B2134" s="81" t="str">
        <f t="shared" ref="B2134:B2197" si="54">DEC2HEX(4928+ROW()-ROW($B$1794),4)</f>
        <v>1494</v>
      </c>
      <c r="C2134" s="146" t="s">
        <v>2503</v>
      </c>
      <c r="D2134" s="24" t="s">
        <v>89</v>
      </c>
      <c r="E2134" s="24"/>
      <c r="F2134" s="24"/>
      <c r="G2134" s="24"/>
      <c r="H2134" s="24"/>
      <c r="I2134" s="24" t="s">
        <v>38</v>
      </c>
      <c r="J2134" s="83" t="s">
        <v>2504</v>
      </c>
      <c r="K2134" s="24"/>
    </row>
    <row r="2135" ht="42.75" outlineLevel="1" spans="1:11">
      <c r="A2135" s="24"/>
      <c r="B2135" s="81" t="str">
        <f t="shared" si="54"/>
        <v>1495</v>
      </c>
      <c r="C2135" s="106" t="s">
        <v>2505</v>
      </c>
      <c r="D2135" s="24" t="s">
        <v>89</v>
      </c>
      <c r="E2135" s="24"/>
      <c r="F2135" s="24"/>
      <c r="G2135" s="24"/>
      <c r="H2135" s="24"/>
      <c r="I2135" s="24" t="s">
        <v>38</v>
      </c>
      <c r="J2135" s="83" t="s">
        <v>2477</v>
      </c>
      <c r="K2135" s="24"/>
    </row>
    <row r="2136" ht="28.5" outlineLevel="1" spans="1:11">
      <c r="A2136" s="24"/>
      <c r="B2136" s="81" t="str">
        <f t="shared" si="54"/>
        <v>1496</v>
      </c>
      <c r="C2136" s="106" t="s">
        <v>2506</v>
      </c>
      <c r="D2136" s="24" t="s">
        <v>89</v>
      </c>
      <c r="E2136" s="24"/>
      <c r="F2136" s="24"/>
      <c r="G2136" s="24"/>
      <c r="H2136" s="24"/>
      <c r="I2136" s="24" t="s">
        <v>38</v>
      </c>
      <c r="J2136" s="83" t="s">
        <v>2479</v>
      </c>
      <c r="K2136" s="24"/>
    </row>
    <row r="2137" ht="28.5" outlineLevel="1" spans="1:11">
      <c r="A2137" s="24"/>
      <c r="B2137" s="81" t="str">
        <f t="shared" si="54"/>
        <v>1497</v>
      </c>
      <c r="C2137" s="106" t="s">
        <v>2507</v>
      </c>
      <c r="D2137" s="24" t="s">
        <v>89</v>
      </c>
      <c r="E2137" s="24"/>
      <c r="F2137" s="24"/>
      <c r="G2137" s="24"/>
      <c r="H2137" s="24"/>
      <c r="I2137" s="24" t="s">
        <v>38</v>
      </c>
      <c r="J2137" s="83" t="s">
        <v>2481</v>
      </c>
      <c r="K2137" s="24"/>
    </row>
    <row r="2138" outlineLevel="1" spans="1:11">
      <c r="A2138" s="24"/>
      <c r="B2138" s="81" t="str">
        <f t="shared" si="54"/>
        <v>1498</v>
      </c>
      <c r="C2138" s="146" t="s">
        <v>2508</v>
      </c>
      <c r="D2138" s="24" t="s">
        <v>89</v>
      </c>
      <c r="E2138" s="24"/>
      <c r="F2138" s="24"/>
      <c r="G2138" s="24"/>
      <c r="H2138" s="24"/>
      <c r="I2138" s="24" t="s">
        <v>38</v>
      </c>
      <c r="J2138" s="83" t="s">
        <v>2509</v>
      </c>
      <c r="K2138" s="24"/>
    </row>
    <row r="2139" ht="42.75" outlineLevel="1" spans="1:11">
      <c r="A2139" s="24"/>
      <c r="B2139" s="81" t="str">
        <f t="shared" si="54"/>
        <v>1499</v>
      </c>
      <c r="C2139" s="106" t="s">
        <v>2510</v>
      </c>
      <c r="D2139" s="24" t="s">
        <v>89</v>
      </c>
      <c r="E2139" s="24"/>
      <c r="F2139" s="24"/>
      <c r="G2139" s="24"/>
      <c r="H2139" s="24"/>
      <c r="I2139" s="24" t="s">
        <v>38</v>
      </c>
      <c r="J2139" s="83" t="s">
        <v>2477</v>
      </c>
      <c r="K2139" s="24"/>
    </row>
    <row r="2140" ht="28.5" outlineLevel="1" spans="1:11">
      <c r="A2140" s="24"/>
      <c r="B2140" s="81" t="str">
        <f t="shared" si="54"/>
        <v>149A</v>
      </c>
      <c r="C2140" s="106" t="s">
        <v>2511</v>
      </c>
      <c r="D2140" s="24" t="s">
        <v>89</v>
      </c>
      <c r="E2140" s="24"/>
      <c r="F2140" s="24"/>
      <c r="G2140" s="24"/>
      <c r="H2140" s="24"/>
      <c r="I2140" s="24" t="s">
        <v>38</v>
      </c>
      <c r="J2140" s="83" t="s">
        <v>2479</v>
      </c>
      <c r="K2140" s="24"/>
    </row>
    <row r="2141" ht="28.5" outlineLevel="1" spans="1:11">
      <c r="A2141" s="24"/>
      <c r="B2141" s="81" t="str">
        <f t="shared" si="54"/>
        <v>149B</v>
      </c>
      <c r="C2141" s="106" t="s">
        <v>2512</v>
      </c>
      <c r="D2141" s="24" t="s">
        <v>89</v>
      </c>
      <c r="E2141" s="24"/>
      <c r="F2141" s="24"/>
      <c r="G2141" s="24"/>
      <c r="H2141" s="24"/>
      <c r="I2141" s="24" t="s">
        <v>38</v>
      </c>
      <c r="J2141" s="83" t="s">
        <v>2481</v>
      </c>
      <c r="K2141" s="24"/>
    </row>
    <row r="2142" outlineLevel="1" spans="1:11">
      <c r="A2142" s="24"/>
      <c r="B2142" s="81" t="str">
        <f t="shared" si="54"/>
        <v>149C</v>
      </c>
      <c r="C2142" s="146" t="s">
        <v>2513</v>
      </c>
      <c r="D2142" s="24" t="s">
        <v>89</v>
      </c>
      <c r="E2142" s="24"/>
      <c r="F2142" s="24"/>
      <c r="G2142" s="24"/>
      <c r="H2142" s="24"/>
      <c r="I2142" s="24" t="s">
        <v>38</v>
      </c>
      <c r="J2142" s="83" t="s">
        <v>2514</v>
      </c>
      <c r="K2142" s="24"/>
    </row>
    <row r="2143" ht="42.75" outlineLevel="1" spans="1:11">
      <c r="A2143" s="24"/>
      <c r="B2143" s="81" t="str">
        <f t="shared" si="54"/>
        <v>149D</v>
      </c>
      <c r="C2143" s="106" t="s">
        <v>2515</v>
      </c>
      <c r="D2143" s="24" t="s">
        <v>89</v>
      </c>
      <c r="E2143" s="24"/>
      <c r="F2143" s="24"/>
      <c r="G2143" s="24"/>
      <c r="H2143" s="24"/>
      <c r="I2143" s="24" t="s">
        <v>38</v>
      </c>
      <c r="J2143" s="83" t="s">
        <v>2477</v>
      </c>
      <c r="K2143" s="24"/>
    </row>
    <row r="2144" ht="28.5" outlineLevel="1" spans="1:11">
      <c r="A2144" s="24"/>
      <c r="B2144" s="81" t="str">
        <f t="shared" si="54"/>
        <v>149E</v>
      </c>
      <c r="C2144" s="106" t="s">
        <v>2516</v>
      </c>
      <c r="D2144" s="24" t="s">
        <v>89</v>
      </c>
      <c r="E2144" s="24"/>
      <c r="F2144" s="24"/>
      <c r="G2144" s="24"/>
      <c r="H2144" s="24"/>
      <c r="I2144" s="24" t="s">
        <v>38</v>
      </c>
      <c r="J2144" s="83" t="s">
        <v>2479</v>
      </c>
      <c r="K2144" s="24"/>
    </row>
    <row r="2145" ht="28.5" outlineLevel="1" spans="1:11">
      <c r="A2145" s="24"/>
      <c r="B2145" s="81" t="str">
        <f t="shared" si="54"/>
        <v>149F</v>
      </c>
      <c r="C2145" s="106" t="s">
        <v>2517</v>
      </c>
      <c r="D2145" s="24" t="s">
        <v>89</v>
      </c>
      <c r="E2145" s="24"/>
      <c r="F2145" s="24"/>
      <c r="G2145" s="24"/>
      <c r="H2145" s="24"/>
      <c r="I2145" s="24" t="s">
        <v>38</v>
      </c>
      <c r="J2145" s="83" t="s">
        <v>2481</v>
      </c>
      <c r="K2145" s="24"/>
    </row>
    <row r="2146" outlineLevel="1" spans="1:11">
      <c r="A2146" s="24"/>
      <c r="B2146" s="81" t="str">
        <f t="shared" si="54"/>
        <v>14A0</v>
      </c>
      <c r="C2146" s="146" t="s">
        <v>2518</v>
      </c>
      <c r="D2146" s="24" t="s">
        <v>89</v>
      </c>
      <c r="E2146" s="24"/>
      <c r="F2146" s="24"/>
      <c r="G2146" s="24"/>
      <c r="H2146" s="24"/>
      <c r="I2146" s="24" t="s">
        <v>38</v>
      </c>
      <c r="J2146" s="83" t="s">
        <v>2519</v>
      </c>
      <c r="K2146" s="24"/>
    </row>
    <row r="2147" ht="42.75" outlineLevel="1" spans="1:11">
      <c r="A2147" s="24"/>
      <c r="B2147" s="81" t="str">
        <f t="shared" si="54"/>
        <v>14A1</v>
      </c>
      <c r="C2147" s="106" t="s">
        <v>2520</v>
      </c>
      <c r="D2147" s="24" t="s">
        <v>89</v>
      </c>
      <c r="E2147" s="24"/>
      <c r="F2147" s="24"/>
      <c r="G2147" s="24"/>
      <c r="H2147" s="24"/>
      <c r="I2147" s="24" t="s">
        <v>38</v>
      </c>
      <c r="J2147" s="83" t="s">
        <v>2477</v>
      </c>
      <c r="K2147" s="24"/>
    </row>
    <row r="2148" ht="28.5" outlineLevel="1" spans="1:11">
      <c r="A2148" s="24"/>
      <c r="B2148" s="81" t="str">
        <f t="shared" si="54"/>
        <v>14A2</v>
      </c>
      <c r="C2148" s="106" t="s">
        <v>2521</v>
      </c>
      <c r="D2148" s="24" t="s">
        <v>89</v>
      </c>
      <c r="E2148" s="24"/>
      <c r="F2148" s="24"/>
      <c r="G2148" s="24"/>
      <c r="H2148" s="24"/>
      <c r="I2148" s="24" t="s">
        <v>38</v>
      </c>
      <c r="J2148" s="83" t="s">
        <v>2479</v>
      </c>
      <c r="K2148" s="24"/>
    </row>
    <row r="2149" ht="28.5" outlineLevel="1" spans="1:11">
      <c r="A2149" s="24"/>
      <c r="B2149" s="81" t="str">
        <f t="shared" si="54"/>
        <v>14A3</v>
      </c>
      <c r="C2149" s="106" t="s">
        <v>2522</v>
      </c>
      <c r="D2149" s="24" t="s">
        <v>89</v>
      </c>
      <c r="E2149" s="24"/>
      <c r="F2149" s="24"/>
      <c r="G2149" s="24"/>
      <c r="H2149" s="24"/>
      <c r="I2149" s="24" t="s">
        <v>38</v>
      </c>
      <c r="J2149" s="83" t="s">
        <v>2481</v>
      </c>
      <c r="K2149" s="24"/>
    </row>
    <row r="2150" outlineLevel="1" spans="1:11">
      <c r="A2150" s="24"/>
      <c r="B2150" s="81" t="str">
        <f t="shared" si="54"/>
        <v>14A4</v>
      </c>
      <c r="C2150" s="146" t="s">
        <v>2523</v>
      </c>
      <c r="D2150" s="24" t="s">
        <v>89</v>
      </c>
      <c r="E2150" s="24"/>
      <c r="F2150" s="24"/>
      <c r="G2150" s="24"/>
      <c r="H2150" s="24"/>
      <c r="I2150" s="24" t="s">
        <v>38</v>
      </c>
      <c r="J2150" s="83" t="s">
        <v>2524</v>
      </c>
      <c r="K2150" s="24"/>
    </row>
    <row r="2151" ht="42.75" outlineLevel="1" spans="1:11">
      <c r="A2151" s="24"/>
      <c r="B2151" s="81" t="str">
        <f t="shared" si="54"/>
        <v>14A5</v>
      </c>
      <c r="C2151" s="106" t="s">
        <v>2525</v>
      </c>
      <c r="D2151" s="24" t="s">
        <v>89</v>
      </c>
      <c r="E2151" s="24"/>
      <c r="F2151" s="24"/>
      <c r="G2151" s="24"/>
      <c r="H2151" s="24"/>
      <c r="I2151" s="24" t="s">
        <v>38</v>
      </c>
      <c r="J2151" s="83" t="s">
        <v>2477</v>
      </c>
      <c r="K2151" s="24"/>
    </row>
    <row r="2152" ht="28.5" outlineLevel="1" spans="1:11">
      <c r="A2152" s="24"/>
      <c r="B2152" s="81" t="str">
        <f t="shared" si="54"/>
        <v>14A6</v>
      </c>
      <c r="C2152" s="106" t="s">
        <v>2526</v>
      </c>
      <c r="D2152" s="24" t="s">
        <v>89</v>
      </c>
      <c r="E2152" s="24"/>
      <c r="F2152" s="24"/>
      <c r="G2152" s="24"/>
      <c r="H2152" s="24"/>
      <c r="I2152" s="24" t="s">
        <v>38</v>
      </c>
      <c r="J2152" s="83" t="s">
        <v>2479</v>
      </c>
      <c r="K2152" s="24"/>
    </row>
    <row r="2153" ht="28.5" outlineLevel="1" spans="1:11">
      <c r="A2153" s="24"/>
      <c r="B2153" s="81" t="str">
        <f t="shared" si="54"/>
        <v>14A7</v>
      </c>
      <c r="C2153" s="106" t="s">
        <v>2527</v>
      </c>
      <c r="D2153" s="24" t="s">
        <v>89</v>
      </c>
      <c r="E2153" s="24"/>
      <c r="F2153" s="24"/>
      <c r="G2153" s="24"/>
      <c r="H2153" s="24"/>
      <c r="I2153" s="24" t="s">
        <v>38</v>
      </c>
      <c r="J2153" s="83" t="s">
        <v>2481</v>
      </c>
      <c r="K2153" s="24"/>
    </row>
    <row r="2154" outlineLevel="1" spans="1:11">
      <c r="A2154" s="24"/>
      <c r="B2154" s="81" t="str">
        <f t="shared" si="54"/>
        <v>14A8</v>
      </c>
      <c r="C2154" s="146" t="s">
        <v>2528</v>
      </c>
      <c r="D2154" s="24" t="s">
        <v>89</v>
      </c>
      <c r="E2154" s="24"/>
      <c r="F2154" s="24"/>
      <c r="G2154" s="24"/>
      <c r="H2154" s="24"/>
      <c r="I2154" s="24" t="s">
        <v>38</v>
      </c>
      <c r="J2154" s="83" t="s">
        <v>2529</v>
      </c>
      <c r="K2154" s="24"/>
    </row>
    <row r="2155" ht="42.75" outlineLevel="1" spans="1:11">
      <c r="A2155" s="24"/>
      <c r="B2155" s="81" t="str">
        <f t="shared" si="54"/>
        <v>14A9</v>
      </c>
      <c r="C2155" s="106" t="s">
        <v>2530</v>
      </c>
      <c r="D2155" s="24" t="s">
        <v>89</v>
      </c>
      <c r="E2155" s="24"/>
      <c r="F2155" s="24"/>
      <c r="G2155" s="24"/>
      <c r="H2155" s="24"/>
      <c r="I2155" s="24" t="s">
        <v>38</v>
      </c>
      <c r="J2155" s="83" t="s">
        <v>2477</v>
      </c>
      <c r="K2155" s="24"/>
    </row>
    <row r="2156" ht="28.5" outlineLevel="1" spans="1:11">
      <c r="A2156" s="24"/>
      <c r="B2156" s="81" t="str">
        <f t="shared" si="54"/>
        <v>14AA</v>
      </c>
      <c r="C2156" s="106" t="s">
        <v>2531</v>
      </c>
      <c r="D2156" s="24" t="s">
        <v>89</v>
      </c>
      <c r="E2156" s="24"/>
      <c r="F2156" s="24"/>
      <c r="G2156" s="24"/>
      <c r="H2156" s="24"/>
      <c r="I2156" s="24" t="s">
        <v>38</v>
      </c>
      <c r="J2156" s="83" t="s">
        <v>2479</v>
      </c>
      <c r="K2156" s="24"/>
    </row>
    <row r="2157" ht="28.5" outlineLevel="1" spans="1:11">
      <c r="A2157" s="24"/>
      <c r="B2157" s="81" t="str">
        <f t="shared" si="54"/>
        <v>14AB</v>
      </c>
      <c r="C2157" s="106" t="s">
        <v>2532</v>
      </c>
      <c r="D2157" s="24" t="s">
        <v>89</v>
      </c>
      <c r="E2157" s="24"/>
      <c r="F2157" s="24"/>
      <c r="G2157" s="24"/>
      <c r="H2157" s="24"/>
      <c r="I2157" s="24" t="s">
        <v>38</v>
      </c>
      <c r="J2157" s="83" t="s">
        <v>2481</v>
      </c>
      <c r="K2157" s="24"/>
    </row>
    <row r="2158" outlineLevel="1" spans="1:11">
      <c r="A2158" s="24"/>
      <c r="B2158" s="81" t="str">
        <f t="shared" si="54"/>
        <v>14AC</v>
      </c>
      <c r="C2158" s="146" t="s">
        <v>2533</v>
      </c>
      <c r="D2158" s="24" t="s">
        <v>89</v>
      </c>
      <c r="E2158" s="24"/>
      <c r="F2158" s="24"/>
      <c r="G2158" s="24"/>
      <c r="H2158" s="24"/>
      <c r="I2158" s="24" t="s">
        <v>38</v>
      </c>
      <c r="J2158" s="83" t="s">
        <v>2534</v>
      </c>
      <c r="K2158" s="24"/>
    </row>
    <row r="2159" ht="42.75" outlineLevel="1" spans="1:11">
      <c r="A2159" s="24"/>
      <c r="B2159" s="81" t="str">
        <f t="shared" si="54"/>
        <v>14AD</v>
      </c>
      <c r="C2159" s="106" t="s">
        <v>2535</v>
      </c>
      <c r="D2159" s="24" t="s">
        <v>89</v>
      </c>
      <c r="E2159" s="24"/>
      <c r="F2159" s="24"/>
      <c r="G2159" s="24"/>
      <c r="H2159" s="24"/>
      <c r="I2159" s="24" t="s">
        <v>38</v>
      </c>
      <c r="J2159" s="83" t="s">
        <v>2477</v>
      </c>
      <c r="K2159" s="24"/>
    </row>
    <row r="2160" ht="28.5" outlineLevel="1" spans="1:11">
      <c r="A2160" s="24"/>
      <c r="B2160" s="81" t="str">
        <f t="shared" si="54"/>
        <v>14AE</v>
      </c>
      <c r="C2160" s="106" t="s">
        <v>2536</v>
      </c>
      <c r="D2160" s="24" t="s">
        <v>89</v>
      </c>
      <c r="E2160" s="24"/>
      <c r="F2160" s="24"/>
      <c r="G2160" s="24"/>
      <c r="H2160" s="24"/>
      <c r="I2160" s="24" t="s">
        <v>38</v>
      </c>
      <c r="J2160" s="83" t="s">
        <v>2479</v>
      </c>
      <c r="K2160" s="24"/>
    </row>
    <row r="2161" ht="28.5" outlineLevel="1" spans="1:11">
      <c r="A2161" s="24"/>
      <c r="B2161" s="81" t="str">
        <f t="shared" si="54"/>
        <v>14AF</v>
      </c>
      <c r="C2161" s="106" t="s">
        <v>2537</v>
      </c>
      <c r="D2161" s="24" t="s">
        <v>89</v>
      </c>
      <c r="E2161" s="24"/>
      <c r="F2161" s="24"/>
      <c r="G2161" s="24"/>
      <c r="H2161" s="24"/>
      <c r="I2161" s="24" t="s">
        <v>38</v>
      </c>
      <c r="J2161" s="83" t="s">
        <v>2481</v>
      </c>
      <c r="K2161" s="24"/>
    </row>
    <row r="2162" outlineLevel="1" spans="1:11">
      <c r="A2162" s="24"/>
      <c r="B2162" s="81" t="str">
        <f t="shared" si="54"/>
        <v>14B0</v>
      </c>
      <c r="C2162" s="146" t="s">
        <v>2538</v>
      </c>
      <c r="D2162" s="24" t="s">
        <v>89</v>
      </c>
      <c r="E2162" s="24"/>
      <c r="F2162" s="24"/>
      <c r="G2162" s="24"/>
      <c r="H2162" s="24"/>
      <c r="I2162" s="24" t="s">
        <v>38</v>
      </c>
      <c r="J2162" s="83" t="s">
        <v>2539</v>
      </c>
      <c r="K2162" s="24"/>
    </row>
    <row r="2163" ht="42.75" outlineLevel="1" spans="1:11">
      <c r="A2163" s="24"/>
      <c r="B2163" s="81" t="str">
        <f t="shared" si="54"/>
        <v>14B1</v>
      </c>
      <c r="C2163" s="106" t="s">
        <v>2540</v>
      </c>
      <c r="D2163" s="24" t="s">
        <v>89</v>
      </c>
      <c r="E2163" s="24"/>
      <c r="F2163" s="24"/>
      <c r="G2163" s="24"/>
      <c r="H2163" s="24"/>
      <c r="I2163" s="24" t="s">
        <v>38</v>
      </c>
      <c r="J2163" s="83" t="s">
        <v>2477</v>
      </c>
      <c r="K2163" s="24"/>
    </row>
    <row r="2164" ht="28.5" outlineLevel="1" spans="1:11">
      <c r="A2164" s="24"/>
      <c r="B2164" s="81" t="str">
        <f t="shared" si="54"/>
        <v>14B2</v>
      </c>
      <c r="C2164" s="106" t="s">
        <v>2541</v>
      </c>
      <c r="D2164" s="24" t="s">
        <v>89</v>
      </c>
      <c r="E2164" s="24"/>
      <c r="F2164" s="24"/>
      <c r="G2164" s="24"/>
      <c r="H2164" s="24"/>
      <c r="I2164" s="24" t="s">
        <v>38</v>
      </c>
      <c r="J2164" s="83" t="s">
        <v>2479</v>
      </c>
      <c r="K2164" s="24"/>
    </row>
    <row r="2165" ht="28.5" outlineLevel="1" spans="1:11">
      <c r="A2165" s="24"/>
      <c r="B2165" s="81" t="str">
        <f t="shared" si="54"/>
        <v>14B3</v>
      </c>
      <c r="C2165" s="106" t="s">
        <v>2542</v>
      </c>
      <c r="D2165" s="24" t="s">
        <v>89</v>
      </c>
      <c r="E2165" s="24"/>
      <c r="F2165" s="24"/>
      <c r="G2165" s="24"/>
      <c r="H2165" s="24"/>
      <c r="I2165" s="24" t="s">
        <v>38</v>
      </c>
      <c r="J2165" s="83" t="s">
        <v>2481</v>
      </c>
      <c r="K2165" s="24"/>
    </row>
    <row r="2166" outlineLevel="1" spans="1:11">
      <c r="A2166" s="24"/>
      <c r="B2166" s="81" t="str">
        <f t="shared" si="54"/>
        <v>14B4</v>
      </c>
      <c r="C2166" s="146" t="s">
        <v>2543</v>
      </c>
      <c r="D2166" s="24" t="s">
        <v>89</v>
      </c>
      <c r="E2166" s="24"/>
      <c r="F2166" s="24"/>
      <c r="G2166" s="24"/>
      <c r="H2166" s="24"/>
      <c r="I2166" s="24" t="s">
        <v>38</v>
      </c>
      <c r="J2166" s="83" t="s">
        <v>2544</v>
      </c>
      <c r="K2166" s="24"/>
    </row>
    <row r="2167" ht="42.75" outlineLevel="1" spans="1:11">
      <c r="A2167" s="24"/>
      <c r="B2167" s="81" t="str">
        <f t="shared" si="54"/>
        <v>14B5</v>
      </c>
      <c r="C2167" s="106" t="s">
        <v>2545</v>
      </c>
      <c r="D2167" s="24" t="s">
        <v>89</v>
      </c>
      <c r="E2167" s="24"/>
      <c r="F2167" s="24"/>
      <c r="G2167" s="24"/>
      <c r="H2167" s="24"/>
      <c r="I2167" s="24" t="s">
        <v>38</v>
      </c>
      <c r="J2167" s="83" t="s">
        <v>2477</v>
      </c>
      <c r="K2167" s="24"/>
    </row>
    <row r="2168" ht="28.5" outlineLevel="1" spans="1:11">
      <c r="A2168" s="24"/>
      <c r="B2168" s="81" t="str">
        <f t="shared" si="54"/>
        <v>14B6</v>
      </c>
      <c r="C2168" s="106" t="s">
        <v>2546</v>
      </c>
      <c r="D2168" s="24" t="s">
        <v>89</v>
      </c>
      <c r="E2168" s="24"/>
      <c r="F2168" s="24"/>
      <c r="G2168" s="24"/>
      <c r="H2168" s="24"/>
      <c r="I2168" s="24" t="s">
        <v>38</v>
      </c>
      <c r="J2168" s="83" t="s">
        <v>2479</v>
      </c>
      <c r="K2168" s="24"/>
    </row>
    <row r="2169" ht="28.5" outlineLevel="1" spans="1:11">
      <c r="A2169" s="24"/>
      <c r="B2169" s="81" t="str">
        <f t="shared" si="54"/>
        <v>14B7</v>
      </c>
      <c r="C2169" s="106" t="s">
        <v>2547</v>
      </c>
      <c r="D2169" s="24" t="s">
        <v>89</v>
      </c>
      <c r="E2169" s="24"/>
      <c r="F2169" s="24"/>
      <c r="G2169" s="24"/>
      <c r="H2169" s="24"/>
      <c r="I2169" s="24" t="s">
        <v>38</v>
      </c>
      <c r="J2169" s="83" t="s">
        <v>2481</v>
      </c>
      <c r="K2169" s="24"/>
    </row>
    <row r="2170" outlineLevel="1" spans="1:11">
      <c r="A2170" s="24"/>
      <c r="B2170" s="81" t="str">
        <f t="shared" si="54"/>
        <v>14B8</v>
      </c>
      <c r="C2170" s="146" t="s">
        <v>2548</v>
      </c>
      <c r="D2170" s="24" t="s">
        <v>89</v>
      </c>
      <c r="E2170" s="24"/>
      <c r="F2170" s="24"/>
      <c r="G2170" s="24"/>
      <c r="H2170" s="24"/>
      <c r="I2170" s="24" t="s">
        <v>38</v>
      </c>
      <c r="J2170" s="83" t="s">
        <v>2549</v>
      </c>
      <c r="K2170" s="24"/>
    </row>
    <row r="2171" ht="42.75" outlineLevel="1" spans="1:11">
      <c r="A2171" s="24"/>
      <c r="B2171" s="81" t="str">
        <f t="shared" si="54"/>
        <v>14B9</v>
      </c>
      <c r="C2171" s="106" t="s">
        <v>2550</v>
      </c>
      <c r="D2171" s="24" t="s">
        <v>89</v>
      </c>
      <c r="E2171" s="24"/>
      <c r="F2171" s="24"/>
      <c r="G2171" s="24"/>
      <c r="H2171" s="24"/>
      <c r="I2171" s="24" t="s">
        <v>38</v>
      </c>
      <c r="J2171" s="83" t="s">
        <v>2477</v>
      </c>
      <c r="K2171" s="24"/>
    </row>
    <row r="2172" ht="28.5" outlineLevel="1" spans="1:11">
      <c r="A2172" s="24"/>
      <c r="B2172" s="81" t="str">
        <f t="shared" si="54"/>
        <v>14BA</v>
      </c>
      <c r="C2172" s="106" t="s">
        <v>2551</v>
      </c>
      <c r="D2172" s="24" t="s">
        <v>89</v>
      </c>
      <c r="E2172" s="24"/>
      <c r="F2172" s="24"/>
      <c r="G2172" s="24"/>
      <c r="H2172" s="24"/>
      <c r="I2172" s="24" t="s">
        <v>38</v>
      </c>
      <c r="J2172" s="83" t="s">
        <v>2479</v>
      </c>
      <c r="K2172" s="24"/>
    </row>
    <row r="2173" ht="28.5" outlineLevel="1" spans="1:11">
      <c r="A2173" s="24"/>
      <c r="B2173" s="81" t="str">
        <f t="shared" si="54"/>
        <v>14BB</v>
      </c>
      <c r="C2173" s="106" t="s">
        <v>2552</v>
      </c>
      <c r="D2173" s="24" t="s">
        <v>89</v>
      </c>
      <c r="E2173" s="24"/>
      <c r="F2173" s="24"/>
      <c r="G2173" s="24"/>
      <c r="H2173" s="24"/>
      <c r="I2173" s="24" t="s">
        <v>38</v>
      </c>
      <c r="J2173" s="83" t="s">
        <v>2481</v>
      </c>
      <c r="K2173" s="24"/>
    </row>
    <row r="2174" outlineLevel="1" spans="1:11">
      <c r="A2174" s="24"/>
      <c r="B2174" s="81" t="str">
        <f t="shared" si="54"/>
        <v>14BC</v>
      </c>
      <c r="C2174" s="146" t="s">
        <v>2553</v>
      </c>
      <c r="D2174" s="24" t="s">
        <v>89</v>
      </c>
      <c r="E2174" s="24"/>
      <c r="F2174" s="24"/>
      <c r="G2174" s="24"/>
      <c r="H2174" s="24"/>
      <c r="I2174" s="24" t="s">
        <v>38</v>
      </c>
      <c r="J2174" s="83" t="s">
        <v>2554</v>
      </c>
      <c r="K2174" s="24"/>
    </row>
    <row r="2175" ht="42.75" outlineLevel="1" spans="1:11">
      <c r="A2175" s="24"/>
      <c r="B2175" s="81" t="str">
        <f t="shared" si="54"/>
        <v>14BD</v>
      </c>
      <c r="C2175" s="106" t="s">
        <v>2555</v>
      </c>
      <c r="D2175" s="24" t="s">
        <v>89</v>
      </c>
      <c r="E2175" s="24"/>
      <c r="F2175" s="24"/>
      <c r="G2175" s="24"/>
      <c r="H2175" s="24"/>
      <c r="I2175" s="24" t="s">
        <v>38</v>
      </c>
      <c r="J2175" s="83" t="s">
        <v>2477</v>
      </c>
      <c r="K2175" s="24"/>
    </row>
    <row r="2176" ht="28.5" outlineLevel="1" spans="1:11">
      <c r="A2176" s="24"/>
      <c r="B2176" s="81" t="str">
        <f t="shared" si="54"/>
        <v>14BE</v>
      </c>
      <c r="C2176" s="106" t="s">
        <v>2556</v>
      </c>
      <c r="D2176" s="24" t="s">
        <v>89</v>
      </c>
      <c r="E2176" s="24"/>
      <c r="F2176" s="24"/>
      <c r="G2176" s="24"/>
      <c r="H2176" s="24"/>
      <c r="I2176" s="24" t="s">
        <v>38</v>
      </c>
      <c r="J2176" s="83" t="s">
        <v>2479</v>
      </c>
      <c r="K2176" s="24"/>
    </row>
    <row r="2177" ht="28.5" outlineLevel="1" spans="1:11">
      <c r="A2177" s="24"/>
      <c r="B2177" s="81" t="str">
        <f t="shared" si="54"/>
        <v>14BF</v>
      </c>
      <c r="C2177" s="106" t="s">
        <v>2557</v>
      </c>
      <c r="D2177" s="24" t="s">
        <v>89</v>
      </c>
      <c r="E2177" s="24"/>
      <c r="F2177" s="24"/>
      <c r="G2177" s="24"/>
      <c r="H2177" s="24"/>
      <c r="I2177" s="24" t="s">
        <v>38</v>
      </c>
      <c r="J2177" s="83" t="s">
        <v>2481</v>
      </c>
      <c r="K2177" s="24"/>
    </row>
    <row r="2178" outlineLevel="1" spans="1:11">
      <c r="A2178" s="24"/>
      <c r="B2178" s="81" t="str">
        <f t="shared" si="54"/>
        <v>14C0</v>
      </c>
      <c r="C2178" s="146" t="s">
        <v>2558</v>
      </c>
      <c r="D2178" s="24" t="s">
        <v>89</v>
      </c>
      <c r="E2178" s="24"/>
      <c r="F2178" s="24"/>
      <c r="G2178" s="24"/>
      <c r="H2178" s="24"/>
      <c r="I2178" s="24" t="s">
        <v>38</v>
      </c>
      <c r="J2178" s="83" t="s">
        <v>2559</v>
      </c>
      <c r="K2178" s="24"/>
    </row>
    <row r="2179" ht="42.75" outlineLevel="1" spans="1:11">
      <c r="A2179" s="24"/>
      <c r="B2179" s="81" t="str">
        <f t="shared" si="54"/>
        <v>14C1</v>
      </c>
      <c r="C2179" s="106" t="s">
        <v>2560</v>
      </c>
      <c r="D2179" s="24" t="s">
        <v>89</v>
      </c>
      <c r="E2179" s="24"/>
      <c r="F2179" s="24"/>
      <c r="G2179" s="24"/>
      <c r="H2179" s="24"/>
      <c r="I2179" s="24" t="s">
        <v>38</v>
      </c>
      <c r="J2179" s="83" t="s">
        <v>2477</v>
      </c>
      <c r="K2179" s="24"/>
    </row>
    <row r="2180" ht="28.5" outlineLevel="1" spans="1:11">
      <c r="A2180" s="24"/>
      <c r="B2180" s="81" t="str">
        <f t="shared" si="54"/>
        <v>14C2</v>
      </c>
      <c r="C2180" s="106" t="s">
        <v>2561</v>
      </c>
      <c r="D2180" s="24" t="s">
        <v>89</v>
      </c>
      <c r="E2180" s="24"/>
      <c r="F2180" s="24"/>
      <c r="G2180" s="24"/>
      <c r="H2180" s="24"/>
      <c r="I2180" s="24" t="s">
        <v>38</v>
      </c>
      <c r="J2180" s="83" t="s">
        <v>2479</v>
      </c>
      <c r="K2180" s="24"/>
    </row>
    <row r="2181" ht="28.5" outlineLevel="1" spans="1:11">
      <c r="A2181" s="24"/>
      <c r="B2181" s="81" t="str">
        <f t="shared" si="54"/>
        <v>14C3</v>
      </c>
      <c r="C2181" s="106" t="s">
        <v>2562</v>
      </c>
      <c r="D2181" s="24" t="s">
        <v>89</v>
      </c>
      <c r="E2181" s="24"/>
      <c r="F2181" s="24"/>
      <c r="G2181" s="24"/>
      <c r="H2181" s="24"/>
      <c r="I2181" s="24" t="s">
        <v>38</v>
      </c>
      <c r="J2181" s="83" t="s">
        <v>2481</v>
      </c>
      <c r="K2181" s="24"/>
    </row>
    <row r="2182" outlineLevel="1" spans="1:11">
      <c r="A2182" s="24"/>
      <c r="B2182" s="81" t="str">
        <f t="shared" si="54"/>
        <v>14C4</v>
      </c>
      <c r="C2182" s="146" t="s">
        <v>2563</v>
      </c>
      <c r="D2182" s="24" t="s">
        <v>89</v>
      </c>
      <c r="E2182" s="24"/>
      <c r="F2182" s="24"/>
      <c r="G2182" s="24"/>
      <c r="H2182" s="24"/>
      <c r="I2182" s="24" t="s">
        <v>38</v>
      </c>
      <c r="J2182" s="83" t="s">
        <v>2564</v>
      </c>
      <c r="K2182" s="24"/>
    </row>
    <row r="2183" ht="42.75" outlineLevel="1" spans="1:11">
      <c r="A2183" s="24"/>
      <c r="B2183" s="81" t="str">
        <f t="shared" si="54"/>
        <v>14C5</v>
      </c>
      <c r="C2183" s="106" t="s">
        <v>2565</v>
      </c>
      <c r="D2183" s="24" t="s">
        <v>89</v>
      </c>
      <c r="E2183" s="24"/>
      <c r="F2183" s="24"/>
      <c r="G2183" s="24"/>
      <c r="H2183" s="24"/>
      <c r="I2183" s="24" t="s">
        <v>38</v>
      </c>
      <c r="J2183" s="83" t="s">
        <v>2477</v>
      </c>
      <c r="K2183" s="24"/>
    </row>
    <row r="2184" ht="28.5" outlineLevel="1" spans="1:11">
      <c r="A2184" s="24"/>
      <c r="B2184" s="81" t="str">
        <f t="shared" si="54"/>
        <v>14C6</v>
      </c>
      <c r="C2184" s="106" t="s">
        <v>2566</v>
      </c>
      <c r="D2184" s="24" t="s">
        <v>89</v>
      </c>
      <c r="E2184" s="24"/>
      <c r="F2184" s="24"/>
      <c r="G2184" s="24"/>
      <c r="H2184" s="24"/>
      <c r="I2184" s="24" t="s">
        <v>38</v>
      </c>
      <c r="J2184" s="83" t="s">
        <v>2479</v>
      </c>
      <c r="K2184" s="24"/>
    </row>
    <row r="2185" ht="28.5" outlineLevel="1" spans="1:11">
      <c r="A2185" s="24"/>
      <c r="B2185" s="81" t="str">
        <f t="shared" si="54"/>
        <v>14C7</v>
      </c>
      <c r="C2185" s="106" t="s">
        <v>2567</v>
      </c>
      <c r="D2185" s="24" t="s">
        <v>89</v>
      </c>
      <c r="E2185" s="24"/>
      <c r="F2185" s="24"/>
      <c r="G2185" s="24"/>
      <c r="H2185" s="24"/>
      <c r="I2185" s="24" t="s">
        <v>38</v>
      </c>
      <c r="J2185" s="83" t="s">
        <v>2481</v>
      </c>
      <c r="K2185" s="24"/>
    </row>
    <row r="2186" outlineLevel="1" spans="1:11">
      <c r="A2186" s="24"/>
      <c r="B2186" s="81" t="str">
        <f t="shared" si="54"/>
        <v>14C8</v>
      </c>
      <c r="C2186" s="146" t="s">
        <v>2568</v>
      </c>
      <c r="D2186" s="24" t="s">
        <v>89</v>
      </c>
      <c r="E2186" s="24"/>
      <c r="F2186" s="24"/>
      <c r="G2186" s="24"/>
      <c r="H2186" s="24"/>
      <c r="I2186" s="24" t="s">
        <v>38</v>
      </c>
      <c r="J2186" s="83" t="s">
        <v>2569</v>
      </c>
      <c r="K2186" s="24"/>
    </row>
    <row r="2187" ht="42.75" outlineLevel="1" spans="1:11">
      <c r="A2187" s="24"/>
      <c r="B2187" s="81" t="str">
        <f t="shared" si="54"/>
        <v>14C9</v>
      </c>
      <c r="C2187" s="106" t="s">
        <v>2570</v>
      </c>
      <c r="D2187" s="24" t="s">
        <v>89</v>
      </c>
      <c r="E2187" s="24"/>
      <c r="F2187" s="24"/>
      <c r="G2187" s="24"/>
      <c r="H2187" s="24"/>
      <c r="I2187" s="24" t="s">
        <v>38</v>
      </c>
      <c r="J2187" s="83" t="s">
        <v>2477</v>
      </c>
      <c r="K2187" s="24"/>
    </row>
    <row r="2188" ht="28.5" outlineLevel="1" spans="1:11">
      <c r="A2188" s="24"/>
      <c r="B2188" s="81" t="str">
        <f t="shared" si="54"/>
        <v>14CA</v>
      </c>
      <c r="C2188" s="106" t="s">
        <v>2571</v>
      </c>
      <c r="D2188" s="24" t="s">
        <v>89</v>
      </c>
      <c r="E2188" s="24"/>
      <c r="F2188" s="24"/>
      <c r="G2188" s="24"/>
      <c r="H2188" s="24"/>
      <c r="I2188" s="24" t="s">
        <v>38</v>
      </c>
      <c r="J2188" s="83" t="s">
        <v>2479</v>
      </c>
      <c r="K2188" s="24"/>
    </row>
    <row r="2189" ht="28.5" outlineLevel="1" spans="1:11">
      <c r="A2189" s="24"/>
      <c r="B2189" s="81" t="str">
        <f t="shared" si="54"/>
        <v>14CB</v>
      </c>
      <c r="C2189" s="106" t="s">
        <v>2572</v>
      </c>
      <c r="D2189" s="24" t="s">
        <v>89</v>
      </c>
      <c r="E2189" s="24"/>
      <c r="F2189" s="24"/>
      <c r="G2189" s="24"/>
      <c r="H2189" s="24"/>
      <c r="I2189" s="24" t="s">
        <v>38</v>
      </c>
      <c r="J2189" s="83" t="s">
        <v>2481</v>
      </c>
      <c r="K2189" s="24"/>
    </row>
    <row r="2190" outlineLevel="1" spans="1:11">
      <c r="A2190" s="24"/>
      <c r="B2190" s="81" t="str">
        <f t="shared" si="54"/>
        <v>14CC</v>
      </c>
      <c r="C2190" s="146" t="s">
        <v>2573</v>
      </c>
      <c r="D2190" s="24" t="s">
        <v>89</v>
      </c>
      <c r="E2190" s="24"/>
      <c r="F2190" s="24"/>
      <c r="G2190" s="24"/>
      <c r="H2190" s="24"/>
      <c r="I2190" s="24" t="s">
        <v>38</v>
      </c>
      <c r="J2190" s="83" t="s">
        <v>2574</v>
      </c>
      <c r="K2190" s="24"/>
    </row>
    <row r="2191" ht="42.75" outlineLevel="1" spans="1:11">
      <c r="A2191" s="24"/>
      <c r="B2191" s="81" t="str">
        <f t="shared" si="54"/>
        <v>14CD</v>
      </c>
      <c r="C2191" s="106" t="s">
        <v>2575</v>
      </c>
      <c r="D2191" s="24" t="s">
        <v>89</v>
      </c>
      <c r="E2191" s="24"/>
      <c r="F2191" s="24"/>
      <c r="G2191" s="24"/>
      <c r="H2191" s="24"/>
      <c r="I2191" s="24" t="s">
        <v>38</v>
      </c>
      <c r="J2191" s="83" t="s">
        <v>2477</v>
      </c>
      <c r="K2191" s="24"/>
    </row>
    <row r="2192" ht="28.5" outlineLevel="1" spans="1:11">
      <c r="A2192" s="24"/>
      <c r="B2192" s="81" t="str">
        <f t="shared" si="54"/>
        <v>14CE</v>
      </c>
      <c r="C2192" s="106" t="s">
        <v>2576</v>
      </c>
      <c r="D2192" s="24" t="s">
        <v>89</v>
      </c>
      <c r="E2192" s="24"/>
      <c r="F2192" s="24"/>
      <c r="G2192" s="24"/>
      <c r="H2192" s="24"/>
      <c r="I2192" s="24" t="s">
        <v>38</v>
      </c>
      <c r="J2192" s="83" t="s">
        <v>2479</v>
      </c>
      <c r="K2192" s="24"/>
    </row>
    <row r="2193" ht="28.5" outlineLevel="1" spans="1:11">
      <c r="A2193" s="24"/>
      <c r="B2193" s="81" t="str">
        <f t="shared" si="54"/>
        <v>14CF</v>
      </c>
      <c r="C2193" s="106" t="s">
        <v>2577</v>
      </c>
      <c r="D2193" s="24" t="s">
        <v>89</v>
      </c>
      <c r="E2193" s="24"/>
      <c r="F2193" s="24"/>
      <c r="G2193" s="24"/>
      <c r="H2193" s="24"/>
      <c r="I2193" s="24" t="s">
        <v>38</v>
      </c>
      <c r="J2193" s="83" t="s">
        <v>2481</v>
      </c>
      <c r="K2193" s="24"/>
    </row>
    <row r="2194" outlineLevel="1" spans="1:11">
      <c r="A2194" s="24"/>
      <c r="B2194" s="81" t="str">
        <f t="shared" si="54"/>
        <v>14D0</v>
      </c>
      <c r="C2194" s="146" t="s">
        <v>2578</v>
      </c>
      <c r="D2194" s="24" t="s">
        <v>89</v>
      </c>
      <c r="E2194" s="24"/>
      <c r="F2194" s="24"/>
      <c r="G2194" s="24"/>
      <c r="H2194" s="24"/>
      <c r="I2194" s="24" t="s">
        <v>38</v>
      </c>
      <c r="J2194" s="83" t="s">
        <v>2579</v>
      </c>
      <c r="K2194" s="24"/>
    </row>
    <row r="2195" ht="42.75" outlineLevel="1" spans="1:11">
      <c r="A2195" s="24"/>
      <c r="B2195" s="81" t="str">
        <f t="shared" si="54"/>
        <v>14D1</v>
      </c>
      <c r="C2195" s="106" t="s">
        <v>2580</v>
      </c>
      <c r="D2195" s="24" t="s">
        <v>89</v>
      </c>
      <c r="E2195" s="24"/>
      <c r="F2195" s="24"/>
      <c r="G2195" s="24"/>
      <c r="H2195" s="24"/>
      <c r="I2195" s="24" t="s">
        <v>38</v>
      </c>
      <c r="J2195" s="83" t="s">
        <v>2477</v>
      </c>
      <c r="K2195" s="24"/>
    </row>
    <row r="2196" ht="28.5" outlineLevel="1" spans="1:11">
      <c r="A2196" s="24"/>
      <c r="B2196" s="81" t="str">
        <f t="shared" si="54"/>
        <v>14D2</v>
      </c>
      <c r="C2196" s="106" t="s">
        <v>2581</v>
      </c>
      <c r="D2196" s="24" t="s">
        <v>89</v>
      </c>
      <c r="E2196" s="24"/>
      <c r="F2196" s="24"/>
      <c r="G2196" s="24"/>
      <c r="H2196" s="24"/>
      <c r="I2196" s="24" t="s">
        <v>38</v>
      </c>
      <c r="J2196" s="83" t="s">
        <v>2479</v>
      </c>
      <c r="K2196" s="24"/>
    </row>
    <row r="2197" ht="28.5" outlineLevel="1" spans="1:11">
      <c r="A2197" s="24"/>
      <c r="B2197" s="81" t="str">
        <f t="shared" si="54"/>
        <v>14D3</v>
      </c>
      <c r="C2197" s="106" t="s">
        <v>2582</v>
      </c>
      <c r="D2197" s="24" t="s">
        <v>89</v>
      </c>
      <c r="E2197" s="24"/>
      <c r="F2197" s="24"/>
      <c r="G2197" s="24"/>
      <c r="H2197" s="24"/>
      <c r="I2197" s="24" t="s">
        <v>38</v>
      </c>
      <c r="J2197" s="83" t="s">
        <v>2481</v>
      </c>
      <c r="K2197" s="24"/>
    </row>
    <row r="2198" outlineLevel="1" spans="1:11">
      <c r="A2198" s="24"/>
      <c r="B2198" s="81" t="str">
        <f t="shared" ref="B2198:B2558" si="55">DEC2HEX(4928+ROW()-ROW($B$1794),4)</f>
        <v>14D4</v>
      </c>
      <c r="C2198" s="146" t="s">
        <v>2583</v>
      </c>
      <c r="D2198" s="24" t="s">
        <v>89</v>
      </c>
      <c r="E2198" s="24"/>
      <c r="F2198" s="24"/>
      <c r="G2198" s="24"/>
      <c r="H2198" s="24"/>
      <c r="I2198" s="24" t="s">
        <v>38</v>
      </c>
      <c r="J2198" s="83" t="s">
        <v>2584</v>
      </c>
      <c r="K2198" s="24"/>
    </row>
    <row r="2199" ht="42.75" outlineLevel="1" spans="1:11">
      <c r="A2199" s="24"/>
      <c r="B2199" s="81" t="str">
        <f t="shared" si="55"/>
        <v>14D5</v>
      </c>
      <c r="C2199" s="106" t="s">
        <v>2585</v>
      </c>
      <c r="D2199" s="24" t="s">
        <v>89</v>
      </c>
      <c r="E2199" s="24"/>
      <c r="F2199" s="24"/>
      <c r="G2199" s="24"/>
      <c r="H2199" s="24"/>
      <c r="I2199" s="24" t="s">
        <v>38</v>
      </c>
      <c r="J2199" s="83" t="s">
        <v>2477</v>
      </c>
      <c r="K2199" s="24"/>
    </row>
    <row r="2200" ht="28.5" outlineLevel="1" spans="1:11">
      <c r="A2200" s="24"/>
      <c r="B2200" s="81" t="str">
        <f t="shared" si="55"/>
        <v>14D6</v>
      </c>
      <c r="C2200" s="106" t="s">
        <v>2586</v>
      </c>
      <c r="D2200" s="24" t="s">
        <v>89</v>
      </c>
      <c r="E2200" s="24"/>
      <c r="F2200" s="24"/>
      <c r="G2200" s="24"/>
      <c r="H2200" s="24"/>
      <c r="I2200" s="24" t="s">
        <v>38</v>
      </c>
      <c r="J2200" s="83" t="s">
        <v>2479</v>
      </c>
      <c r="K2200" s="24"/>
    </row>
    <row r="2201" ht="28.5" outlineLevel="1" spans="1:11">
      <c r="A2201" s="24"/>
      <c r="B2201" s="81" t="str">
        <f t="shared" si="55"/>
        <v>14D7</v>
      </c>
      <c r="C2201" s="106" t="s">
        <v>2587</v>
      </c>
      <c r="D2201" s="24" t="s">
        <v>89</v>
      </c>
      <c r="E2201" s="24"/>
      <c r="F2201" s="24"/>
      <c r="G2201" s="24"/>
      <c r="H2201" s="24"/>
      <c r="I2201" s="24" t="s">
        <v>38</v>
      </c>
      <c r="J2201" s="83" t="s">
        <v>2481</v>
      </c>
      <c r="K2201" s="24"/>
    </row>
    <row r="2202" outlineLevel="1" spans="1:11">
      <c r="A2202" s="24"/>
      <c r="B2202" s="81" t="str">
        <f t="shared" si="55"/>
        <v>14D8</v>
      </c>
      <c r="C2202" s="146" t="s">
        <v>2588</v>
      </c>
      <c r="D2202" s="24" t="s">
        <v>89</v>
      </c>
      <c r="E2202" s="24"/>
      <c r="F2202" s="24"/>
      <c r="G2202" s="24"/>
      <c r="H2202" s="24"/>
      <c r="I2202" s="24" t="s">
        <v>38</v>
      </c>
      <c r="J2202" s="83" t="s">
        <v>2589</v>
      </c>
      <c r="K2202" s="24"/>
    </row>
    <row r="2203" ht="42.75" outlineLevel="1" spans="1:11">
      <c r="A2203" s="24"/>
      <c r="B2203" s="81" t="str">
        <f t="shared" si="55"/>
        <v>14D9</v>
      </c>
      <c r="C2203" s="106" t="s">
        <v>2590</v>
      </c>
      <c r="D2203" s="24" t="s">
        <v>89</v>
      </c>
      <c r="E2203" s="24"/>
      <c r="F2203" s="24"/>
      <c r="G2203" s="24"/>
      <c r="H2203" s="24"/>
      <c r="I2203" s="24" t="s">
        <v>38</v>
      </c>
      <c r="J2203" s="83" t="s">
        <v>2477</v>
      </c>
      <c r="K2203" s="24"/>
    </row>
    <row r="2204" ht="28.5" outlineLevel="1" spans="1:11">
      <c r="A2204" s="24"/>
      <c r="B2204" s="81" t="str">
        <f t="shared" si="55"/>
        <v>14DA</v>
      </c>
      <c r="C2204" s="106" t="s">
        <v>2591</v>
      </c>
      <c r="D2204" s="24" t="s">
        <v>89</v>
      </c>
      <c r="E2204" s="24"/>
      <c r="F2204" s="24"/>
      <c r="G2204" s="24"/>
      <c r="H2204" s="24"/>
      <c r="I2204" s="24" t="s">
        <v>38</v>
      </c>
      <c r="J2204" s="83" t="s">
        <v>2479</v>
      </c>
      <c r="K2204" s="24"/>
    </row>
    <row r="2205" ht="28.5" outlineLevel="1" spans="1:11">
      <c r="A2205" s="24"/>
      <c r="B2205" s="81" t="str">
        <f t="shared" si="55"/>
        <v>14DB</v>
      </c>
      <c r="C2205" s="106" t="s">
        <v>2592</v>
      </c>
      <c r="D2205" s="24" t="s">
        <v>89</v>
      </c>
      <c r="E2205" s="24"/>
      <c r="F2205" s="24"/>
      <c r="G2205" s="24"/>
      <c r="H2205" s="24"/>
      <c r="I2205" s="24" t="s">
        <v>38</v>
      </c>
      <c r="J2205" s="83" t="s">
        <v>2481</v>
      </c>
      <c r="K2205" s="24"/>
    </row>
    <row r="2206" outlineLevel="1" spans="1:11">
      <c r="A2206" s="24"/>
      <c r="B2206" s="81" t="str">
        <f t="shared" si="55"/>
        <v>14DC</v>
      </c>
      <c r="C2206" s="146" t="s">
        <v>2593</v>
      </c>
      <c r="D2206" s="24" t="s">
        <v>89</v>
      </c>
      <c r="E2206" s="24"/>
      <c r="F2206" s="24"/>
      <c r="G2206" s="24"/>
      <c r="H2206" s="24"/>
      <c r="I2206" s="24" t="s">
        <v>38</v>
      </c>
      <c r="J2206" s="83" t="s">
        <v>2594</v>
      </c>
      <c r="K2206" s="24"/>
    </row>
    <row r="2207" ht="42.75" outlineLevel="1" spans="1:11">
      <c r="A2207" s="24"/>
      <c r="B2207" s="81" t="str">
        <f t="shared" si="55"/>
        <v>14DD</v>
      </c>
      <c r="C2207" s="106" t="s">
        <v>2595</v>
      </c>
      <c r="D2207" s="24" t="s">
        <v>89</v>
      </c>
      <c r="E2207" s="24"/>
      <c r="F2207" s="24"/>
      <c r="G2207" s="24"/>
      <c r="H2207" s="24"/>
      <c r="I2207" s="24" t="s">
        <v>38</v>
      </c>
      <c r="J2207" s="83" t="s">
        <v>2477</v>
      </c>
      <c r="K2207" s="24"/>
    </row>
    <row r="2208" ht="28.5" outlineLevel="1" spans="1:11">
      <c r="A2208" s="24"/>
      <c r="B2208" s="81" t="str">
        <f t="shared" si="55"/>
        <v>14DE</v>
      </c>
      <c r="C2208" s="106" t="s">
        <v>2596</v>
      </c>
      <c r="D2208" s="24" t="s">
        <v>89</v>
      </c>
      <c r="E2208" s="24"/>
      <c r="F2208" s="24"/>
      <c r="G2208" s="24"/>
      <c r="H2208" s="24"/>
      <c r="I2208" s="24" t="s">
        <v>38</v>
      </c>
      <c r="J2208" s="83" t="s">
        <v>2479</v>
      </c>
      <c r="K2208" s="24"/>
    </row>
    <row r="2209" ht="28.5" outlineLevel="1" spans="1:11">
      <c r="A2209" s="24"/>
      <c r="B2209" s="81" t="str">
        <f t="shared" si="55"/>
        <v>14DF</v>
      </c>
      <c r="C2209" s="106" t="s">
        <v>2597</v>
      </c>
      <c r="D2209" s="24" t="s">
        <v>89</v>
      </c>
      <c r="E2209" s="24"/>
      <c r="F2209" s="24"/>
      <c r="G2209" s="24"/>
      <c r="H2209" s="24"/>
      <c r="I2209" s="24" t="s">
        <v>38</v>
      </c>
      <c r="J2209" s="83" t="s">
        <v>2481</v>
      </c>
      <c r="K2209" s="24"/>
    </row>
    <row r="2210" outlineLevel="1" spans="1:11">
      <c r="A2210" s="24"/>
      <c r="B2210" s="81" t="str">
        <f t="shared" si="55"/>
        <v>14E0</v>
      </c>
      <c r="C2210" s="146" t="s">
        <v>2598</v>
      </c>
      <c r="D2210" s="24" t="s">
        <v>89</v>
      </c>
      <c r="E2210" s="24"/>
      <c r="F2210" s="24"/>
      <c r="G2210" s="24"/>
      <c r="H2210" s="24"/>
      <c r="I2210" s="24" t="s">
        <v>38</v>
      </c>
      <c r="J2210" s="83" t="s">
        <v>2599</v>
      </c>
      <c r="K2210" s="24"/>
    </row>
    <row r="2211" ht="42.75" outlineLevel="1" spans="1:11">
      <c r="A2211" s="24"/>
      <c r="B2211" s="81" t="str">
        <f t="shared" si="55"/>
        <v>14E1</v>
      </c>
      <c r="C2211" s="106" t="s">
        <v>2600</v>
      </c>
      <c r="D2211" s="24" t="s">
        <v>89</v>
      </c>
      <c r="E2211" s="24"/>
      <c r="F2211" s="24"/>
      <c r="G2211" s="24"/>
      <c r="H2211" s="24"/>
      <c r="I2211" s="24" t="s">
        <v>38</v>
      </c>
      <c r="J2211" s="83" t="s">
        <v>2477</v>
      </c>
      <c r="K2211" s="24"/>
    </row>
    <row r="2212" ht="28.5" outlineLevel="1" spans="1:11">
      <c r="A2212" s="24"/>
      <c r="B2212" s="81" t="str">
        <f t="shared" si="55"/>
        <v>14E2</v>
      </c>
      <c r="C2212" s="106" t="s">
        <v>2601</v>
      </c>
      <c r="D2212" s="24" t="s">
        <v>89</v>
      </c>
      <c r="E2212" s="24"/>
      <c r="F2212" s="24"/>
      <c r="G2212" s="24"/>
      <c r="H2212" s="24"/>
      <c r="I2212" s="24" t="s">
        <v>38</v>
      </c>
      <c r="J2212" s="83" t="s">
        <v>2479</v>
      </c>
      <c r="K2212" s="24"/>
    </row>
    <row r="2213" ht="28.5" outlineLevel="1" spans="1:11">
      <c r="A2213" s="24"/>
      <c r="B2213" s="81" t="str">
        <f t="shared" si="55"/>
        <v>14E3</v>
      </c>
      <c r="C2213" s="106" t="s">
        <v>2602</v>
      </c>
      <c r="D2213" s="24" t="s">
        <v>89</v>
      </c>
      <c r="E2213" s="24"/>
      <c r="F2213" s="24"/>
      <c r="G2213" s="24"/>
      <c r="H2213" s="24"/>
      <c r="I2213" s="24" t="s">
        <v>38</v>
      </c>
      <c r="J2213" s="83" t="s">
        <v>2481</v>
      </c>
      <c r="K2213" s="24"/>
    </row>
    <row r="2214" outlineLevel="1" spans="1:11">
      <c r="A2214" s="24"/>
      <c r="B2214" s="81" t="str">
        <f t="shared" si="55"/>
        <v>14E4</v>
      </c>
      <c r="C2214" s="146" t="s">
        <v>2603</v>
      </c>
      <c r="D2214" s="24" t="s">
        <v>89</v>
      </c>
      <c r="E2214" s="24"/>
      <c r="F2214" s="24"/>
      <c r="G2214" s="24"/>
      <c r="H2214" s="24"/>
      <c r="I2214" s="24" t="s">
        <v>38</v>
      </c>
      <c r="J2214" s="83" t="s">
        <v>2604</v>
      </c>
      <c r="K2214" s="24"/>
    </row>
    <row r="2215" ht="42.75" outlineLevel="1" spans="1:11">
      <c r="A2215" s="24"/>
      <c r="B2215" s="81" t="str">
        <f t="shared" si="55"/>
        <v>14E5</v>
      </c>
      <c r="C2215" s="106" t="s">
        <v>2605</v>
      </c>
      <c r="D2215" s="24" t="s">
        <v>89</v>
      </c>
      <c r="E2215" s="24"/>
      <c r="F2215" s="24"/>
      <c r="G2215" s="24"/>
      <c r="H2215" s="24"/>
      <c r="I2215" s="24" t="s">
        <v>38</v>
      </c>
      <c r="J2215" s="83" t="s">
        <v>2477</v>
      </c>
      <c r="K2215" s="24"/>
    </row>
    <row r="2216" ht="28.5" outlineLevel="1" spans="1:11">
      <c r="A2216" s="24"/>
      <c r="B2216" s="81" t="str">
        <f t="shared" si="55"/>
        <v>14E6</v>
      </c>
      <c r="C2216" s="106" t="s">
        <v>2606</v>
      </c>
      <c r="D2216" s="24" t="s">
        <v>89</v>
      </c>
      <c r="E2216" s="24"/>
      <c r="F2216" s="24"/>
      <c r="G2216" s="24"/>
      <c r="H2216" s="24"/>
      <c r="I2216" s="24" t="s">
        <v>38</v>
      </c>
      <c r="J2216" s="83" t="s">
        <v>2479</v>
      </c>
      <c r="K2216" s="24"/>
    </row>
    <row r="2217" ht="28.5" outlineLevel="1" spans="1:11">
      <c r="A2217" s="24"/>
      <c r="B2217" s="81" t="str">
        <f t="shared" si="55"/>
        <v>14E7</v>
      </c>
      <c r="C2217" s="106" t="s">
        <v>2607</v>
      </c>
      <c r="D2217" s="24" t="s">
        <v>89</v>
      </c>
      <c r="E2217" s="24"/>
      <c r="F2217" s="24"/>
      <c r="G2217" s="24"/>
      <c r="H2217" s="24"/>
      <c r="I2217" s="24" t="s">
        <v>38</v>
      </c>
      <c r="J2217" s="83" t="s">
        <v>2481</v>
      </c>
      <c r="K2217" s="24"/>
    </row>
    <row r="2218" outlineLevel="1" spans="1:11">
      <c r="A2218" s="24"/>
      <c r="B2218" s="81" t="str">
        <f t="shared" si="55"/>
        <v>14E8</v>
      </c>
      <c r="C2218" s="146" t="s">
        <v>2608</v>
      </c>
      <c r="D2218" s="24" t="s">
        <v>89</v>
      </c>
      <c r="E2218" s="24"/>
      <c r="F2218" s="24"/>
      <c r="G2218" s="24"/>
      <c r="H2218" s="24"/>
      <c r="I2218" s="24" t="s">
        <v>38</v>
      </c>
      <c r="J2218" s="83" t="s">
        <v>2609</v>
      </c>
      <c r="K2218" s="24"/>
    </row>
    <row r="2219" ht="42.75" outlineLevel="1" spans="1:11">
      <c r="A2219" s="24"/>
      <c r="B2219" s="81" t="str">
        <f t="shared" si="55"/>
        <v>14E9</v>
      </c>
      <c r="C2219" s="106" t="s">
        <v>2610</v>
      </c>
      <c r="D2219" s="24" t="s">
        <v>89</v>
      </c>
      <c r="E2219" s="24"/>
      <c r="F2219" s="24"/>
      <c r="G2219" s="24"/>
      <c r="H2219" s="24"/>
      <c r="I2219" s="24" t="s">
        <v>38</v>
      </c>
      <c r="J2219" s="83" t="s">
        <v>2477</v>
      </c>
      <c r="K2219" s="24"/>
    </row>
    <row r="2220" ht="28.5" outlineLevel="1" spans="1:11">
      <c r="A2220" s="24"/>
      <c r="B2220" s="81" t="str">
        <f t="shared" si="55"/>
        <v>14EA</v>
      </c>
      <c r="C2220" s="106" t="s">
        <v>2611</v>
      </c>
      <c r="D2220" s="24" t="s">
        <v>89</v>
      </c>
      <c r="E2220" s="24"/>
      <c r="F2220" s="24"/>
      <c r="G2220" s="24"/>
      <c r="H2220" s="24"/>
      <c r="I2220" s="24" t="s">
        <v>38</v>
      </c>
      <c r="J2220" s="83" t="s">
        <v>2479</v>
      </c>
      <c r="K2220" s="24"/>
    </row>
    <row r="2221" ht="28.5" outlineLevel="1" spans="1:11">
      <c r="A2221" s="24"/>
      <c r="B2221" s="81" t="str">
        <f t="shared" si="55"/>
        <v>14EB</v>
      </c>
      <c r="C2221" s="106" t="s">
        <v>2612</v>
      </c>
      <c r="D2221" s="24" t="s">
        <v>89</v>
      </c>
      <c r="E2221" s="24"/>
      <c r="F2221" s="24"/>
      <c r="G2221" s="24"/>
      <c r="H2221" s="24"/>
      <c r="I2221" s="24" t="s">
        <v>38</v>
      </c>
      <c r="J2221" s="83" t="s">
        <v>2481</v>
      </c>
      <c r="K2221" s="24"/>
    </row>
    <row r="2222" outlineLevel="1" spans="1:11">
      <c r="A2222" s="24"/>
      <c r="B2222" s="81" t="str">
        <f t="shared" si="55"/>
        <v>14EC</v>
      </c>
      <c r="C2222" s="146" t="s">
        <v>2613</v>
      </c>
      <c r="D2222" s="24" t="s">
        <v>89</v>
      </c>
      <c r="E2222" s="24"/>
      <c r="F2222" s="24"/>
      <c r="G2222" s="24"/>
      <c r="H2222" s="24"/>
      <c r="I2222" s="24" t="s">
        <v>38</v>
      </c>
      <c r="J2222" s="83" t="s">
        <v>2614</v>
      </c>
      <c r="K2222" s="24"/>
    </row>
    <row r="2223" ht="42.75" outlineLevel="1" spans="1:11">
      <c r="A2223" s="24"/>
      <c r="B2223" s="81" t="str">
        <f t="shared" si="55"/>
        <v>14ED</v>
      </c>
      <c r="C2223" s="106" t="s">
        <v>2615</v>
      </c>
      <c r="D2223" s="24" t="s">
        <v>89</v>
      </c>
      <c r="E2223" s="24"/>
      <c r="F2223" s="24"/>
      <c r="G2223" s="24"/>
      <c r="H2223" s="24"/>
      <c r="I2223" s="24" t="s">
        <v>38</v>
      </c>
      <c r="J2223" s="83" t="s">
        <v>2477</v>
      </c>
      <c r="K2223" s="24"/>
    </row>
    <row r="2224" ht="28.5" outlineLevel="1" spans="1:11">
      <c r="A2224" s="24"/>
      <c r="B2224" s="81" t="str">
        <f t="shared" si="55"/>
        <v>14EE</v>
      </c>
      <c r="C2224" s="106" t="s">
        <v>2616</v>
      </c>
      <c r="D2224" s="24" t="s">
        <v>89</v>
      </c>
      <c r="E2224" s="24"/>
      <c r="F2224" s="24"/>
      <c r="G2224" s="24"/>
      <c r="H2224" s="24"/>
      <c r="I2224" s="24" t="s">
        <v>38</v>
      </c>
      <c r="J2224" s="83" t="s">
        <v>2479</v>
      </c>
      <c r="K2224" s="24"/>
    </row>
    <row r="2225" ht="28.5" outlineLevel="1" spans="1:11">
      <c r="A2225" s="24"/>
      <c r="B2225" s="81" t="str">
        <f t="shared" si="55"/>
        <v>14EF</v>
      </c>
      <c r="C2225" s="106" t="s">
        <v>2617</v>
      </c>
      <c r="D2225" s="24" t="s">
        <v>89</v>
      </c>
      <c r="E2225" s="24"/>
      <c r="F2225" s="24"/>
      <c r="G2225" s="24"/>
      <c r="H2225" s="24"/>
      <c r="I2225" s="24" t="s">
        <v>38</v>
      </c>
      <c r="J2225" s="83" t="s">
        <v>2481</v>
      </c>
      <c r="K2225" s="24"/>
    </row>
    <row r="2226" outlineLevel="1" spans="1:11">
      <c r="A2226" s="24"/>
      <c r="B2226" s="81" t="str">
        <f t="shared" si="55"/>
        <v>14F0</v>
      </c>
      <c r="C2226" s="146" t="s">
        <v>2618</v>
      </c>
      <c r="D2226" s="24" t="s">
        <v>89</v>
      </c>
      <c r="E2226" s="24"/>
      <c r="F2226" s="24"/>
      <c r="G2226" s="24"/>
      <c r="H2226" s="24"/>
      <c r="I2226" s="24" t="s">
        <v>38</v>
      </c>
      <c r="J2226" s="83" t="s">
        <v>2619</v>
      </c>
      <c r="K2226" s="24"/>
    </row>
    <row r="2227" ht="42.75" outlineLevel="1" spans="1:11">
      <c r="A2227" s="24"/>
      <c r="B2227" s="81" t="str">
        <f t="shared" si="55"/>
        <v>14F1</v>
      </c>
      <c r="C2227" s="106" t="s">
        <v>2620</v>
      </c>
      <c r="D2227" s="24" t="s">
        <v>89</v>
      </c>
      <c r="E2227" s="24"/>
      <c r="F2227" s="24"/>
      <c r="G2227" s="24"/>
      <c r="H2227" s="24"/>
      <c r="I2227" s="24" t="s">
        <v>38</v>
      </c>
      <c r="J2227" s="83" t="s">
        <v>2477</v>
      </c>
      <c r="K2227" s="24"/>
    </row>
    <row r="2228" ht="28.5" outlineLevel="1" spans="1:11">
      <c r="A2228" s="24"/>
      <c r="B2228" s="81" t="str">
        <f t="shared" si="55"/>
        <v>14F2</v>
      </c>
      <c r="C2228" s="106" t="s">
        <v>2621</v>
      </c>
      <c r="D2228" s="24" t="s">
        <v>89</v>
      </c>
      <c r="E2228" s="24"/>
      <c r="F2228" s="24"/>
      <c r="G2228" s="24"/>
      <c r="H2228" s="24"/>
      <c r="I2228" s="24" t="s">
        <v>38</v>
      </c>
      <c r="J2228" s="83" t="s">
        <v>2479</v>
      </c>
      <c r="K2228" s="24"/>
    </row>
    <row r="2229" ht="28.5" outlineLevel="1" spans="1:11">
      <c r="A2229" s="24"/>
      <c r="B2229" s="81" t="str">
        <f t="shared" si="55"/>
        <v>14F3</v>
      </c>
      <c r="C2229" s="106" t="s">
        <v>2622</v>
      </c>
      <c r="D2229" s="24" t="s">
        <v>89</v>
      </c>
      <c r="E2229" s="24"/>
      <c r="F2229" s="24"/>
      <c r="G2229" s="24"/>
      <c r="H2229" s="24"/>
      <c r="I2229" s="24" t="s">
        <v>38</v>
      </c>
      <c r="J2229" s="83" t="s">
        <v>2481</v>
      </c>
      <c r="K2229" s="24"/>
    </row>
    <row r="2230" outlineLevel="1" spans="1:11">
      <c r="A2230" s="24"/>
      <c r="B2230" s="81" t="str">
        <f t="shared" si="55"/>
        <v>14F4</v>
      </c>
      <c r="C2230" s="146" t="s">
        <v>2623</v>
      </c>
      <c r="D2230" s="24" t="s">
        <v>89</v>
      </c>
      <c r="E2230" s="24"/>
      <c r="F2230" s="24"/>
      <c r="G2230" s="24"/>
      <c r="H2230" s="24"/>
      <c r="I2230" s="24" t="s">
        <v>38</v>
      </c>
      <c r="J2230" s="83" t="s">
        <v>2624</v>
      </c>
      <c r="K2230" s="24"/>
    </row>
    <row r="2231" ht="42.75" outlineLevel="1" spans="1:11">
      <c r="A2231" s="24"/>
      <c r="B2231" s="81" t="str">
        <f t="shared" si="55"/>
        <v>14F5</v>
      </c>
      <c r="C2231" s="106" t="s">
        <v>2625</v>
      </c>
      <c r="D2231" s="24" t="s">
        <v>89</v>
      </c>
      <c r="E2231" s="24"/>
      <c r="F2231" s="24"/>
      <c r="G2231" s="24"/>
      <c r="H2231" s="24"/>
      <c r="I2231" s="24" t="s">
        <v>38</v>
      </c>
      <c r="J2231" s="83" t="s">
        <v>2477</v>
      </c>
      <c r="K2231" s="24"/>
    </row>
    <row r="2232" ht="28.5" outlineLevel="1" spans="1:11">
      <c r="A2232" s="24"/>
      <c r="B2232" s="81" t="str">
        <f t="shared" si="55"/>
        <v>14F6</v>
      </c>
      <c r="C2232" s="106" t="s">
        <v>2626</v>
      </c>
      <c r="D2232" s="24" t="s">
        <v>89</v>
      </c>
      <c r="E2232" s="24"/>
      <c r="F2232" s="24"/>
      <c r="G2232" s="24"/>
      <c r="H2232" s="24"/>
      <c r="I2232" s="24" t="s">
        <v>38</v>
      </c>
      <c r="J2232" s="83" t="s">
        <v>2479</v>
      </c>
      <c r="K2232" s="24"/>
    </row>
    <row r="2233" ht="28.5" outlineLevel="1" spans="1:11">
      <c r="A2233" s="24"/>
      <c r="B2233" s="81" t="str">
        <f t="shared" si="55"/>
        <v>14F7</v>
      </c>
      <c r="C2233" s="106" t="s">
        <v>2627</v>
      </c>
      <c r="D2233" s="24" t="s">
        <v>89</v>
      </c>
      <c r="E2233" s="24"/>
      <c r="F2233" s="24"/>
      <c r="G2233" s="24"/>
      <c r="H2233" s="24"/>
      <c r="I2233" s="24" t="s">
        <v>38</v>
      </c>
      <c r="J2233" s="83" t="s">
        <v>2481</v>
      </c>
      <c r="K2233" s="24"/>
    </row>
    <row r="2234" outlineLevel="1" spans="1:11">
      <c r="A2234" s="24"/>
      <c r="B2234" s="81" t="str">
        <f t="shared" si="55"/>
        <v>14F8</v>
      </c>
      <c r="C2234" s="146" t="s">
        <v>2628</v>
      </c>
      <c r="D2234" s="24" t="s">
        <v>89</v>
      </c>
      <c r="E2234" s="24"/>
      <c r="F2234" s="24"/>
      <c r="G2234" s="24"/>
      <c r="H2234" s="24"/>
      <c r="I2234" s="24" t="s">
        <v>38</v>
      </c>
      <c r="J2234" s="83" t="s">
        <v>2629</v>
      </c>
      <c r="K2234" s="24"/>
    </row>
    <row r="2235" ht="42.75" outlineLevel="1" spans="1:11">
      <c r="A2235" s="24"/>
      <c r="B2235" s="81" t="str">
        <f t="shared" si="55"/>
        <v>14F9</v>
      </c>
      <c r="C2235" s="106" t="s">
        <v>2630</v>
      </c>
      <c r="D2235" s="24" t="s">
        <v>89</v>
      </c>
      <c r="E2235" s="24"/>
      <c r="F2235" s="24"/>
      <c r="G2235" s="24"/>
      <c r="H2235" s="24"/>
      <c r="I2235" s="24" t="s">
        <v>38</v>
      </c>
      <c r="J2235" s="83" t="s">
        <v>2477</v>
      </c>
      <c r="K2235" s="24"/>
    </row>
    <row r="2236" ht="28.5" outlineLevel="1" spans="1:11">
      <c r="A2236" s="24"/>
      <c r="B2236" s="81" t="str">
        <f t="shared" si="55"/>
        <v>14FA</v>
      </c>
      <c r="C2236" s="106" t="s">
        <v>2631</v>
      </c>
      <c r="D2236" s="24" t="s">
        <v>89</v>
      </c>
      <c r="E2236" s="24"/>
      <c r="F2236" s="24"/>
      <c r="G2236" s="24"/>
      <c r="H2236" s="24"/>
      <c r="I2236" s="24" t="s">
        <v>38</v>
      </c>
      <c r="J2236" s="83" t="s">
        <v>2479</v>
      </c>
      <c r="K2236" s="24"/>
    </row>
    <row r="2237" ht="28.5" outlineLevel="1" spans="1:11">
      <c r="A2237" s="24"/>
      <c r="B2237" s="81" t="str">
        <f t="shared" si="55"/>
        <v>14FB</v>
      </c>
      <c r="C2237" s="106" t="s">
        <v>2632</v>
      </c>
      <c r="D2237" s="24" t="s">
        <v>89</v>
      </c>
      <c r="E2237" s="24"/>
      <c r="F2237" s="24"/>
      <c r="G2237" s="24"/>
      <c r="H2237" s="24"/>
      <c r="I2237" s="24" t="s">
        <v>38</v>
      </c>
      <c r="J2237" s="83" t="s">
        <v>2481</v>
      </c>
      <c r="K2237" s="24"/>
    </row>
    <row r="2238" outlineLevel="1" spans="1:11">
      <c r="A2238" s="24"/>
      <c r="B2238" s="81" t="str">
        <f t="shared" si="55"/>
        <v>14FC</v>
      </c>
      <c r="C2238" s="146" t="s">
        <v>2633</v>
      </c>
      <c r="D2238" s="24" t="s">
        <v>89</v>
      </c>
      <c r="E2238" s="24"/>
      <c r="F2238" s="24"/>
      <c r="G2238" s="24"/>
      <c r="H2238" s="24"/>
      <c r="I2238" s="24" t="s">
        <v>38</v>
      </c>
      <c r="J2238" s="83" t="s">
        <v>2634</v>
      </c>
      <c r="K2238" s="24"/>
    </row>
    <row r="2239" ht="42.75" outlineLevel="1" spans="1:11">
      <c r="A2239" s="24"/>
      <c r="B2239" s="81" t="str">
        <f t="shared" si="55"/>
        <v>14FD</v>
      </c>
      <c r="C2239" s="106" t="s">
        <v>2635</v>
      </c>
      <c r="D2239" s="24" t="s">
        <v>89</v>
      </c>
      <c r="E2239" s="24"/>
      <c r="F2239" s="24"/>
      <c r="G2239" s="24"/>
      <c r="H2239" s="24"/>
      <c r="I2239" s="24" t="s">
        <v>38</v>
      </c>
      <c r="J2239" s="83" t="s">
        <v>2477</v>
      </c>
      <c r="K2239" s="24"/>
    </row>
    <row r="2240" ht="28.5" outlineLevel="1" spans="1:11">
      <c r="A2240" s="24"/>
      <c r="B2240" s="81" t="str">
        <f t="shared" si="55"/>
        <v>14FE</v>
      </c>
      <c r="C2240" s="106" t="s">
        <v>2636</v>
      </c>
      <c r="D2240" s="24" t="s">
        <v>89</v>
      </c>
      <c r="E2240" s="24"/>
      <c r="F2240" s="24"/>
      <c r="G2240" s="24"/>
      <c r="H2240" s="24"/>
      <c r="I2240" s="24" t="s">
        <v>38</v>
      </c>
      <c r="J2240" s="83" t="s">
        <v>2479</v>
      </c>
      <c r="K2240" s="24"/>
    </row>
    <row r="2241" ht="28.5" outlineLevel="1" spans="1:11">
      <c r="A2241" s="24"/>
      <c r="B2241" s="81" t="str">
        <f t="shared" si="55"/>
        <v>14FF</v>
      </c>
      <c r="C2241" s="106" t="s">
        <v>2637</v>
      </c>
      <c r="D2241" s="24" t="s">
        <v>89</v>
      </c>
      <c r="E2241" s="24"/>
      <c r="F2241" s="24"/>
      <c r="G2241" s="24"/>
      <c r="H2241" s="24"/>
      <c r="I2241" s="24" t="s">
        <v>38</v>
      </c>
      <c r="J2241" s="83" t="s">
        <v>2481</v>
      </c>
      <c r="K2241" s="24"/>
    </row>
    <row r="2242" outlineLevel="1" spans="1:11">
      <c r="A2242" s="24"/>
      <c r="B2242" s="81" t="str">
        <f t="shared" si="55"/>
        <v>1500</v>
      </c>
      <c r="C2242" s="146" t="s">
        <v>2638</v>
      </c>
      <c r="D2242" s="24" t="s">
        <v>89</v>
      </c>
      <c r="E2242" s="24"/>
      <c r="F2242" s="24"/>
      <c r="G2242" s="24"/>
      <c r="H2242" s="24"/>
      <c r="I2242" s="24" t="s">
        <v>38</v>
      </c>
      <c r="J2242" s="83" t="s">
        <v>2639</v>
      </c>
      <c r="K2242" s="24"/>
    </row>
    <row r="2243" ht="42.75" outlineLevel="1" spans="1:11">
      <c r="A2243" s="24"/>
      <c r="B2243" s="81" t="str">
        <f t="shared" si="55"/>
        <v>1501</v>
      </c>
      <c r="C2243" s="106" t="s">
        <v>2640</v>
      </c>
      <c r="D2243" s="24" t="s">
        <v>89</v>
      </c>
      <c r="E2243" s="24"/>
      <c r="F2243" s="24"/>
      <c r="G2243" s="24"/>
      <c r="H2243" s="24"/>
      <c r="I2243" s="24" t="s">
        <v>38</v>
      </c>
      <c r="J2243" s="83" t="s">
        <v>2477</v>
      </c>
      <c r="K2243" s="24"/>
    </row>
    <row r="2244" ht="28.5" outlineLevel="1" spans="1:11">
      <c r="A2244" s="24"/>
      <c r="B2244" s="81" t="str">
        <f t="shared" si="55"/>
        <v>1502</v>
      </c>
      <c r="C2244" s="106" t="s">
        <v>2641</v>
      </c>
      <c r="D2244" s="24" t="s">
        <v>89</v>
      </c>
      <c r="E2244" s="24"/>
      <c r="F2244" s="24"/>
      <c r="G2244" s="24"/>
      <c r="H2244" s="24"/>
      <c r="I2244" s="24" t="s">
        <v>38</v>
      </c>
      <c r="J2244" s="83" t="s">
        <v>2479</v>
      </c>
      <c r="K2244" s="24"/>
    </row>
    <row r="2245" ht="28.5" outlineLevel="1" spans="1:11">
      <c r="A2245" s="24"/>
      <c r="B2245" s="81" t="str">
        <f t="shared" si="55"/>
        <v>1503</v>
      </c>
      <c r="C2245" s="106" t="s">
        <v>2642</v>
      </c>
      <c r="D2245" s="24" t="s">
        <v>89</v>
      </c>
      <c r="E2245" s="24"/>
      <c r="F2245" s="24"/>
      <c r="G2245" s="24"/>
      <c r="H2245" s="24"/>
      <c r="I2245" s="24" t="s">
        <v>38</v>
      </c>
      <c r="J2245" s="83" t="s">
        <v>2481</v>
      </c>
      <c r="K2245" s="24"/>
    </row>
    <row r="2246" outlineLevel="1" spans="1:11">
      <c r="A2246" s="24"/>
      <c r="B2246" s="81" t="str">
        <f t="shared" si="55"/>
        <v>1504</v>
      </c>
      <c r="C2246" s="146" t="s">
        <v>2643</v>
      </c>
      <c r="D2246" s="24" t="s">
        <v>89</v>
      </c>
      <c r="E2246" s="24"/>
      <c r="F2246" s="24"/>
      <c r="G2246" s="24"/>
      <c r="H2246" s="24"/>
      <c r="I2246" s="24" t="s">
        <v>38</v>
      </c>
      <c r="J2246" s="83" t="s">
        <v>2644</v>
      </c>
      <c r="K2246" s="24"/>
    </row>
    <row r="2247" ht="42.75" outlineLevel="1" spans="1:11">
      <c r="A2247" s="24"/>
      <c r="B2247" s="81" t="str">
        <f t="shared" si="55"/>
        <v>1505</v>
      </c>
      <c r="C2247" s="106" t="s">
        <v>2645</v>
      </c>
      <c r="D2247" s="24" t="s">
        <v>89</v>
      </c>
      <c r="E2247" s="24"/>
      <c r="F2247" s="24"/>
      <c r="G2247" s="24"/>
      <c r="H2247" s="24"/>
      <c r="I2247" s="24" t="s">
        <v>38</v>
      </c>
      <c r="J2247" s="83" t="s">
        <v>2477</v>
      </c>
      <c r="K2247" s="24"/>
    </row>
    <row r="2248" ht="28.5" outlineLevel="1" spans="1:11">
      <c r="A2248" s="24"/>
      <c r="B2248" s="81" t="str">
        <f t="shared" si="55"/>
        <v>1506</v>
      </c>
      <c r="C2248" s="106" t="s">
        <v>2646</v>
      </c>
      <c r="D2248" s="24" t="s">
        <v>89</v>
      </c>
      <c r="E2248" s="24"/>
      <c r="F2248" s="24"/>
      <c r="G2248" s="24"/>
      <c r="H2248" s="24"/>
      <c r="I2248" s="24" t="s">
        <v>38</v>
      </c>
      <c r="J2248" s="83" t="s">
        <v>2479</v>
      </c>
      <c r="K2248" s="24"/>
    </row>
    <row r="2249" ht="28.5" outlineLevel="1" spans="1:11">
      <c r="A2249" s="24"/>
      <c r="B2249" s="81" t="str">
        <f t="shared" si="55"/>
        <v>1507</v>
      </c>
      <c r="C2249" s="106" t="s">
        <v>2647</v>
      </c>
      <c r="D2249" s="24" t="s">
        <v>89</v>
      </c>
      <c r="E2249" s="24"/>
      <c r="F2249" s="24"/>
      <c r="G2249" s="24"/>
      <c r="H2249" s="24"/>
      <c r="I2249" s="24" t="s">
        <v>38</v>
      </c>
      <c r="J2249" s="83" t="s">
        <v>2481</v>
      </c>
      <c r="K2249" s="24"/>
    </row>
    <row r="2250" outlineLevel="1" spans="1:11">
      <c r="A2250" s="24"/>
      <c r="B2250" s="81" t="str">
        <f t="shared" si="55"/>
        <v>1508</v>
      </c>
      <c r="C2250" s="146" t="s">
        <v>2648</v>
      </c>
      <c r="D2250" s="24" t="s">
        <v>89</v>
      </c>
      <c r="E2250" s="24"/>
      <c r="F2250" s="24"/>
      <c r="G2250" s="24"/>
      <c r="H2250" s="24"/>
      <c r="I2250" s="24" t="s">
        <v>38</v>
      </c>
      <c r="J2250" s="83" t="s">
        <v>2649</v>
      </c>
      <c r="K2250" s="24"/>
    </row>
    <row r="2251" ht="42.75" outlineLevel="1" spans="1:11">
      <c r="A2251" s="24"/>
      <c r="B2251" s="81" t="str">
        <f t="shared" si="55"/>
        <v>1509</v>
      </c>
      <c r="C2251" s="106" t="s">
        <v>2650</v>
      </c>
      <c r="D2251" s="24" t="s">
        <v>89</v>
      </c>
      <c r="E2251" s="24"/>
      <c r="F2251" s="24"/>
      <c r="G2251" s="24"/>
      <c r="H2251" s="24"/>
      <c r="I2251" s="24" t="s">
        <v>38</v>
      </c>
      <c r="J2251" s="83" t="s">
        <v>2477</v>
      </c>
      <c r="K2251" s="24"/>
    </row>
    <row r="2252" ht="28.5" outlineLevel="1" spans="1:11">
      <c r="A2252" s="24"/>
      <c r="B2252" s="81" t="str">
        <f t="shared" si="55"/>
        <v>150A</v>
      </c>
      <c r="C2252" s="106" t="s">
        <v>2651</v>
      </c>
      <c r="D2252" s="24" t="s">
        <v>89</v>
      </c>
      <c r="E2252" s="24"/>
      <c r="F2252" s="24"/>
      <c r="G2252" s="24"/>
      <c r="H2252" s="24"/>
      <c r="I2252" s="24" t="s">
        <v>38</v>
      </c>
      <c r="J2252" s="83" t="s">
        <v>2479</v>
      </c>
      <c r="K2252" s="24"/>
    </row>
    <row r="2253" ht="28.5" outlineLevel="1" spans="1:11">
      <c r="A2253" s="24"/>
      <c r="B2253" s="81" t="str">
        <f t="shared" si="55"/>
        <v>150B</v>
      </c>
      <c r="C2253" s="106" t="s">
        <v>2652</v>
      </c>
      <c r="D2253" s="24" t="s">
        <v>89</v>
      </c>
      <c r="E2253" s="24"/>
      <c r="F2253" s="24"/>
      <c r="G2253" s="24"/>
      <c r="H2253" s="24"/>
      <c r="I2253" s="24" t="s">
        <v>38</v>
      </c>
      <c r="J2253" s="83" t="s">
        <v>2481</v>
      </c>
      <c r="K2253" s="24"/>
    </row>
    <row r="2254" outlineLevel="1" spans="1:11">
      <c r="A2254" s="24"/>
      <c r="B2254" s="81" t="str">
        <f t="shared" si="55"/>
        <v>150C</v>
      </c>
      <c r="C2254" s="146" t="s">
        <v>2653</v>
      </c>
      <c r="D2254" s="24" t="s">
        <v>89</v>
      </c>
      <c r="E2254" s="24"/>
      <c r="F2254" s="24"/>
      <c r="G2254" s="24"/>
      <c r="H2254" s="24"/>
      <c r="I2254" s="24" t="s">
        <v>38</v>
      </c>
      <c r="J2254" s="83" t="s">
        <v>2654</v>
      </c>
      <c r="K2254" s="24"/>
    </row>
    <row r="2255" ht="42.75" outlineLevel="1" spans="1:11">
      <c r="A2255" s="24"/>
      <c r="B2255" s="81" t="str">
        <f t="shared" si="55"/>
        <v>150D</v>
      </c>
      <c r="C2255" s="106" t="s">
        <v>2655</v>
      </c>
      <c r="D2255" s="24" t="s">
        <v>89</v>
      </c>
      <c r="E2255" s="24"/>
      <c r="F2255" s="24"/>
      <c r="G2255" s="24"/>
      <c r="H2255" s="24"/>
      <c r="I2255" s="24" t="s">
        <v>38</v>
      </c>
      <c r="J2255" s="83" t="s">
        <v>2477</v>
      </c>
      <c r="K2255" s="24"/>
    </row>
    <row r="2256" ht="28.5" outlineLevel="1" spans="1:11">
      <c r="A2256" s="24"/>
      <c r="B2256" s="81" t="str">
        <f t="shared" si="55"/>
        <v>150E</v>
      </c>
      <c r="C2256" s="106" t="s">
        <v>2656</v>
      </c>
      <c r="D2256" s="24" t="s">
        <v>89</v>
      </c>
      <c r="E2256" s="24"/>
      <c r="F2256" s="24"/>
      <c r="G2256" s="24"/>
      <c r="H2256" s="24"/>
      <c r="I2256" s="24" t="s">
        <v>38</v>
      </c>
      <c r="J2256" s="83" t="s">
        <v>2479</v>
      </c>
      <c r="K2256" s="24"/>
    </row>
    <row r="2257" ht="28.5" outlineLevel="1" spans="1:11">
      <c r="A2257" s="24"/>
      <c r="B2257" s="81" t="str">
        <f t="shared" si="55"/>
        <v>150F</v>
      </c>
      <c r="C2257" s="106" t="s">
        <v>2657</v>
      </c>
      <c r="D2257" s="24" t="s">
        <v>89</v>
      </c>
      <c r="E2257" s="24"/>
      <c r="F2257" s="24"/>
      <c r="G2257" s="24"/>
      <c r="H2257" s="24"/>
      <c r="I2257" s="24" t="s">
        <v>38</v>
      </c>
      <c r="J2257" s="83" t="s">
        <v>2481</v>
      </c>
      <c r="K2257" s="24"/>
    </row>
    <row r="2258" outlineLevel="1" spans="1:11">
      <c r="A2258" s="24"/>
      <c r="B2258" s="81" t="str">
        <f t="shared" si="55"/>
        <v>1510</v>
      </c>
      <c r="C2258" s="146" t="s">
        <v>2658</v>
      </c>
      <c r="D2258" s="24" t="s">
        <v>89</v>
      </c>
      <c r="E2258" s="24"/>
      <c r="F2258" s="24"/>
      <c r="G2258" s="24"/>
      <c r="H2258" s="24"/>
      <c r="I2258" s="24" t="s">
        <v>38</v>
      </c>
      <c r="J2258" s="83" t="s">
        <v>2659</v>
      </c>
      <c r="K2258" s="24"/>
    </row>
    <row r="2259" ht="42.75" outlineLevel="1" spans="1:11">
      <c r="A2259" s="24"/>
      <c r="B2259" s="81" t="str">
        <f t="shared" si="55"/>
        <v>1511</v>
      </c>
      <c r="C2259" s="106" t="s">
        <v>2660</v>
      </c>
      <c r="D2259" s="24" t="s">
        <v>89</v>
      </c>
      <c r="E2259" s="24"/>
      <c r="F2259" s="24"/>
      <c r="G2259" s="24"/>
      <c r="H2259" s="24"/>
      <c r="I2259" s="24" t="s">
        <v>38</v>
      </c>
      <c r="J2259" s="83" t="s">
        <v>2477</v>
      </c>
      <c r="K2259" s="24"/>
    </row>
    <row r="2260" ht="28.5" outlineLevel="1" spans="1:11">
      <c r="A2260" s="24"/>
      <c r="B2260" s="81" t="str">
        <f t="shared" si="55"/>
        <v>1512</v>
      </c>
      <c r="C2260" s="106" t="s">
        <v>2661</v>
      </c>
      <c r="D2260" s="24" t="s">
        <v>89</v>
      </c>
      <c r="E2260" s="24"/>
      <c r="F2260" s="24"/>
      <c r="G2260" s="24"/>
      <c r="H2260" s="24"/>
      <c r="I2260" s="24" t="s">
        <v>38</v>
      </c>
      <c r="J2260" s="83" t="s">
        <v>2479</v>
      </c>
      <c r="K2260" s="24"/>
    </row>
    <row r="2261" ht="28.5" outlineLevel="1" spans="1:11">
      <c r="A2261" s="24"/>
      <c r="B2261" s="81" t="str">
        <f t="shared" si="55"/>
        <v>1513</v>
      </c>
      <c r="C2261" s="106" t="s">
        <v>2662</v>
      </c>
      <c r="D2261" s="24" t="s">
        <v>89</v>
      </c>
      <c r="E2261" s="24"/>
      <c r="F2261" s="24"/>
      <c r="G2261" s="24"/>
      <c r="H2261" s="24"/>
      <c r="I2261" s="24" t="s">
        <v>38</v>
      </c>
      <c r="J2261" s="83" t="s">
        <v>2481</v>
      </c>
      <c r="K2261" s="24"/>
    </row>
    <row r="2262" outlineLevel="1" spans="1:11">
      <c r="A2262" s="24"/>
      <c r="B2262" s="81" t="str">
        <f t="shared" si="55"/>
        <v>1514</v>
      </c>
      <c r="C2262" s="146" t="s">
        <v>2663</v>
      </c>
      <c r="D2262" s="24" t="s">
        <v>89</v>
      </c>
      <c r="E2262" s="24"/>
      <c r="F2262" s="24"/>
      <c r="G2262" s="24"/>
      <c r="H2262" s="24"/>
      <c r="I2262" s="24" t="s">
        <v>38</v>
      </c>
      <c r="J2262" s="83" t="s">
        <v>2664</v>
      </c>
      <c r="K2262" s="24"/>
    </row>
    <row r="2263" ht="42.75" outlineLevel="1" spans="1:11">
      <c r="A2263" s="24"/>
      <c r="B2263" s="81" t="str">
        <f t="shared" si="55"/>
        <v>1515</v>
      </c>
      <c r="C2263" s="106" t="s">
        <v>2665</v>
      </c>
      <c r="D2263" s="24" t="s">
        <v>89</v>
      </c>
      <c r="E2263" s="24"/>
      <c r="F2263" s="24"/>
      <c r="G2263" s="24"/>
      <c r="H2263" s="24"/>
      <c r="I2263" s="24" t="s">
        <v>38</v>
      </c>
      <c r="J2263" s="83" t="s">
        <v>2477</v>
      </c>
      <c r="K2263" s="24"/>
    </row>
    <row r="2264" ht="28.5" outlineLevel="1" spans="1:11">
      <c r="A2264" s="24"/>
      <c r="B2264" s="81" t="str">
        <f t="shared" si="55"/>
        <v>1516</v>
      </c>
      <c r="C2264" s="106" t="s">
        <v>2666</v>
      </c>
      <c r="D2264" s="24" t="s">
        <v>89</v>
      </c>
      <c r="E2264" s="24"/>
      <c r="F2264" s="24"/>
      <c r="G2264" s="24"/>
      <c r="H2264" s="24"/>
      <c r="I2264" s="24" t="s">
        <v>38</v>
      </c>
      <c r="J2264" s="83" t="s">
        <v>2479</v>
      </c>
      <c r="K2264" s="24"/>
    </row>
    <row r="2265" ht="28.5" outlineLevel="1" spans="1:11">
      <c r="A2265" s="24"/>
      <c r="B2265" s="81" t="str">
        <f t="shared" si="55"/>
        <v>1517</v>
      </c>
      <c r="C2265" s="106" t="s">
        <v>2667</v>
      </c>
      <c r="D2265" s="24" t="s">
        <v>89</v>
      </c>
      <c r="E2265" s="24"/>
      <c r="F2265" s="24"/>
      <c r="G2265" s="24"/>
      <c r="H2265" s="24"/>
      <c r="I2265" s="24" t="s">
        <v>38</v>
      </c>
      <c r="J2265" s="83" t="s">
        <v>2481</v>
      </c>
      <c r="K2265" s="24"/>
    </row>
    <row r="2266" outlineLevel="1" spans="1:11">
      <c r="A2266" s="24"/>
      <c r="B2266" s="81" t="str">
        <f t="shared" si="55"/>
        <v>1518</v>
      </c>
      <c r="C2266" s="146" t="s">
        <v>2668</v>
      </c>
      <c r="D2266" s="24" t="s">
        <v>89</v>
      </c>
      <c r="E2266" s="24"/>
      <c r="F2266" s="24"/>
      <c r="G2266" s="24"/>
      <c r="H2266" s="24"/>
      <c r="I2266" s="24" t="s">
        <v>38</v>
      </c>
      <c r="J2266" s="83" t="s">
        <v>2669</v>
      </c>
      <c r="K2266" s="24"/>
    </row>
    <row r="2267" ht="42.75" outlineLevel="1" spans="1:11">
      <c r="A2267" s="24"/>
      <c r="B2267" s="81" t="str">
        <f t="shared" si="55"/>
        <v>1519</v>
      </c>
      <c r="C2267" s="106" t="s">
        <v>2670</v>
      </c>
      <c r="D2267" s="24" t="s">
        <v>89</v>
      </c>
      <c r="E2267" s="24"/>
      <c r="F2267" s="24"/>
      <c r="G2267" s="24"/>
      <c r="H2267" s="24"/>
      <c r="I2267" s="24" t="s">
        <v>38</v>
      </c>
      <c r="J2267" s="83" t="s">
        <v>2477</v>
      </c>
      <c r="K2267" s="24"/>
    </row>
    <row r="2268" ht="28.5" outlineLevel="1" spans="1:11">
      <c r="A2268" s="24"/>
      <c r="B2268" s="81" t="str">
        <f t="shared" si="55"/>
        <v>151A</v>
      </c>
      <c r="C2268" s="106" t="s">
        <v>2671</v>
      </c>
      <c r="D2268" s="24" t="s">
        <v>89</v>
      </c>
      <c r="E2268" s="24"/>
      <c r="F2268" s="24"/>
      <c r="G2268" s="24"/>
      <c r="H2268" s="24"/>
      <c r="I2268" s="24" t="s">
        <v>38</v>
      </c>
      <c r="J2268" s="83" t="s">
        <v>2479</v>
      </c>
      <c r="K2268" s="24"/>
    </row>
    <row r="2269" ht="28.5" outlineLevel="1" spans="1:11">
      <c r="A2269" s="24"/>
      <c r="B2269" s="81" t="str">
        <f t="shared" si="55"/>
        <v>151B</v>
      </c>
      <c r="C2269" s="106" t="s">
        <v>2672</v>
      </c>
      <c r="D2269" s="24" t="s">
        <v>89</v>
      </c>
      <c r="E2269" s="24"/>
      <c r="F2269" s="24"/>
      <c r="G2269" s="24"/>
      <c r="H2269" s="24"/>
      <c r="I2269" s="24" t="s">
        <v>38</v>
      </c>
      <c r="J2269" s="83" t="s">
        <v>2481</v>
      </c>
      <c r="K2269" s="24"/>
    </row>
    <row r="2270" outlineLevel="1" spans="1:11">
      <c r="A2270" s="24"/>
      <c r="B2270" s="81" t="str">
        <f t="shared" si="55"/>
        <v>151C</v>
      </c>
      <c r="C2270" s="146" t="s">
        <v>2673</v>
      </c>
      <c r="D2270" s="24" t="s">
        <v>89</v>
      </c>
      <c r="E2270" s="24"/>
      <c r="F2270" s="24"/>
      <c r="G2270" s="24"/>
      <c r="H2270" s="24"/>
      <c r="I2270" s="24" t="s">
        <v>38</v>
      </c>
      <c r="J2270" s="83" t="s">
        <v>2674</v>
      </c>
      <c r="K2270" s="24"/>
    </row>
    <row r="2271" ht="42.75" outlineLevel="1" spans="1:11">
      <c r="A2271" s="24"/>
      <c r="B2271" s="81" t="str">
        <f t="shared" si="55"/>
        <v>151D</v>
      </c>
      <c r="C2271" s="106" t="s">
        <v>2675</v>
      </c>
      <c r="D2271" s="24" t="s">
        <v>89</v>
      </c>
      <c r="E2271" s="24"/>
      <c r="F2271" s="24"/>
      <c r="G2271" s="24"/>
      <c r="H2271" s="24"/>
      <c r="I2271" s="24" t="s">
        <v>38</v>
      </c>
      <c r="J2271" s="83" t="s">
        <v>2477</v>
      </c>
      <c r="K2271" s="24"/>
    </row>
    <row r="2272" ht="28.5" outlineLevel="1" spans="1:11">
      <c r="A2272" s="24"/>
      <c r="B2272" s="81" t="str">
        <f t="shared" si="55"/>
        <v>151E</v>
      </c>
      <c r="C2272" s="106" t="s">
        <v>2676</v>
      </c>
      <c r="D2272" s="24" t="s">
        <v>89</v>
      </c>
      <c r="E2272" s="24"/>
      <c r="F2272" s="24"/>
      <c r="G2272" s="24"/>
      <c r="H2272" s="24"/>
      <c r="I2272" s="24" t="s">
        <v>38</v>
      </c>
      <c r="J2272" s="83" t="s">
        <v>2479</v>
      </c>
      <c r="K2272" s="24"/>
    </row>
    <row r="2273" ht="28.5" outlineLevel="1" spans="1:11">
      <c r="A2273" s="24"/>
      <c r="B2273" s="81" t="str">
        <f t="shared" si="55"/>
        <v>151F</v>
      </c>
      <c r="C2273" s="106" t="s">
        <v>2677</v>
      </c>
      <c r="D2273" s="24" t="s">
        <v>89</v>
      </c>
      <c r="E2273" s="24"/>
      <c r="F2273" s="24"/>
      <c r="G2273" s="24"/>
      <c r="H2273" s="24"/>
      <c r="I2273" s="24" t="s">
        <v>38</v>
      </c>
      <c r="J2273" s="83" t="s">
        <v>2481</v>
      </c>
      <c r="K2273" s="24"/>
    </row>
    <row r="2274" outlineLevel="1" spans="1:11">
      <c r="A2274" s="24"/>
      <c r="B2274" s="81" t="str">
        <f t="shared" si="55"/>
        <v>1520</v>
      </c>
      <c r="C2274" s="146" t="s">
        <v>2678</v>
      </c>
      <c r="D2274" s="24" t="s">
        <v>89</v>
      </c>
      <c r="E2274" s="24"/>
      <c r="F2274" s="24"/>
      <c r="G2274" s="24"/>
      <c r="H2274" s="24"/>
      <c r="I2274" s="24" t="s">
        <v>38</v>
      </c>
      <c r="J2274" s="83" t="s">
        <v>2679</v>
      </c>
      <c r="K2274" s="24"/>
    </row>
    <row r="2275" ht="42.75" outlineLevel="1" spans="1:11">
      <c r="A2275" s="24"/>
      <c r="B2275" s="81" t="str">
        <f t="shared" si="55"/>
        <v>1521</v>
      </c>
      <c r="C2275" s="106" t="s">
        <v>2680</v>
      </c>
      <c r="D2275" s="24" t="s">
        <v>89</v>
      </c>
      <c r="E2275" s="24"/>
      <c r="F2275" s="24"/>
      <c r="G2275" s="24"/>
      <c r="H2275" s="24"/>
      <c r="I2275" s="24" t="s">
        <v>38</v>
      </c>
      <c r="J2275" s="83" t="s">
        <v>2477</v>
      </c>
      <c r="K2275" s="24"/>
    </row>
    <row r="2276" ht="28.5" outlineLevel="1" spans="1:11">
      <c r="A2276" s="24"/>
      <c r="B2276" s="81" t="str">
        <f t="shared" si="55"/>
        <v>1522</v>
      </c>
      <c r="C2276" s="106" t="s">
        <v>2681</v>
      </c>
      <c r="D2276" s="24" t="s">
        <v>89</v>
      </c>
      <c r="E2276" s="24"/>
      <c r="F2276" s="24"/>
      <c r="G2276" s="24"/>
      <c r="H2276" s="24"/>
      <c r="I2276" s="24" t="s">
        <v>38</v>
      </c>
      <c r="J2276" s="83" t="s">
        <v>2479</v>
      </c>
      <c r="K2276" s="24"/>
    </row>
    <row r="2277" ht="28.5" outlineLevel="1" spans="1:11">
      <c r="A2277" s="24"/>
      <c r="B2277" s="81" t="str">
        <f t="shared" si="55"/>
        <v>1523</v>
      </c>
      <c r="C2277" s="106" t="s">
        <v>2682</v>
      </c>
      <c r="D2277" s="24" t="s">
        <v>89</v>
      </c>
      <c r="E2277" s="24"/>
      <c r="F2277" s="24"/>
      <c r="G2277" s="24"/>
      <c r="H2277" s="24"/>
      <c r="I2277" s="24" t="s">
        <v>38</v>
      </c>
      <c r="J2277" s="83" t="s">
        <v>2481</v>
      </c>
      <c r="K2277" s="24"/>
    </row>
    <row r="2278" outlineLevel="1" spans="1:11">
      <c r="A2278" s="24"/>
      <c r="B2278" s="81" t="str">
        <f t="shared" si="55"/>
        <v>1524</v>
      </c>
      <c r="C2278" s="146" t="s">
        <v>2683</v>
      </c>
      <c r="D2278" s="24" t="s">
        <v>89</v>
      </c>
      <c r="E2278" s="24"/>
      <c r="F2278" s="24"/>
      <c r="G2278" s="24"/>
      <c r="H2278" s="24"/>
      <c r="I2278" s="24" t="s">
        <v>38</v>
      </c>
      <c r="J2278" s="83" t="s">
        <v>2684</v>
      </c>
      <c r="K2278" s="24"/>
    </row>
    <row r="2279" ht="42.75" outlineLevel="1" spans="1:11">
      <c r="A2279" s="24"/>
      <c r="B2279" s="81" t="str">
        <f t="shared" si="55"/>
        <v>1525</v>
      </c>
      <c r="C2279" s="106" t="s">
        <v>2685</v>
      </c>
      <c r="D2279" s="24" t="s">
        <v>89</v>
      </c>
      <c r="E2279" s="24"/>
      <c r="F2279" s="24"/>
      <c r="G2279" s="24"/>
      <c r="H2279" s="24"/>
      <c r="I2279" s="24" t="s">
        <v>38</v>
      </c>
      <c r="J2279" s="83" t="s">
        <v>2477</v>
      </c>
      <c r="K2279" s="24"/>
    </row>
    <row r="2280" ht="28.5" outlineLevel="1" spans="1:11">
      <c r="A2280" s="24"/>
      <c r="B2280" s="81" t="str">
        <f t="shared" si="55"/>
        <v>1526</v>
      </c>
      <c r="C2280" s="106" t="s">
        <v>2686</v>
      </c>
      <c r="D2280" s="24" t="s">
        <v>89</v>
      </c>
      <c r="E2280" s="24"/>
      <c r="F2280" s="24"/>
      <c r="G2280" s="24"/>
      <c r="H2280" s="24"/>
      <c r="I2280" s="24" t="s">
        <v>38</v>
      </c>
      <c r="J2280" s="83" t="s">
        <v>2479</v>
      </c>
      <c r="K2280" s="24"/>
    </row>
    <row r="2281" ht="28.5" outlineLevel="1" spans="1:11">
      <c r="A2281" s="24"/>
      <c r="B2281" s="81" t="str">
        <f t="shared" si="55"/>
        <v>1527</v>
      </c>
      <c r="C2281" s="106" t="s">
        <v>2687</v>
      </c>
      <c r="D2281" s="24" t="s">
        <v>89</v>
      </c>
      <c r="E2281" s="24"/>
      <c r="F2281" s="24"/>
      <c r="G2281" s="24"/>
      <c r="H2281" s="24"/>
      <c r="I2281" s="24" t="s">
        <v>38</v>
      </c>
      <c r="J2281" s="83" t="s">
        <v>2481</v>
      </c>
      <c r="K2281" s="24"/>
    </row>
    <row r="2282" outlineLevel="1" spans="1:11">
      <c r="A2282" s="24"/>
      <c r="B2282" s="81" t="str">
        <f t="shared" si="55"/>
        <v>1528</v>
      </c>
      <c r="C2282" s="146" t="s">
        <v>2688</v>
      </c>
      <c r="D2282" s="24" t="s">
        <v>89</v>
      </c>
      <c r="E2282" s="24"/>
      <c r="F2282" s="24"/>
      <c r="G2282" s="24"/>
      <c r="H2282" s="24"/>
      <c r="I2282" s="24" t="s">
        <v>38</v>
      </c>
      <c r="J2282" s="83" t="s">
        <v>2689</v>
      </c>
      <c r="K2282" s="24"/>
    </row>
    <row r="2283" ht="42.75" outlineLevel="1" spans="1:11">
      <c r="A2283" s="24"/>
      <c r="B2283" s="81" t="str">
        <f t="shared" si="55"/>
        <v>1529</v>
      </c>
      <c r="C2283" s="106" t="s">
        <v>2690</v>
      </c>
      <c r="D2283" s="24" t="s">
        <v>89</v>
      </c>
      <c r="E2283" s="24"/>
      <c r="F2283" s="24"/>
      <c r="G2283" s="24"/>
      <c r="H2283" s="24"/>
      <c r="I2283" s="24" t="s">
        <v>38</v>
      </c>
      <c r="J2283" s="83" t="s">
        <v>2477</v>
      </c>
      <c r="K2283" s="24"/>
    </row>
    <row r="2284" ht="28.5" outlineLevel="1" spans="1:11">
      <c r="A2284" s="24"/>
      <c r="B2284" s="81" t="str">
        <f t="shared" si="55"/>
        <v>152A</v>
      </c>
      <c r="C2284" s="106" t="s">
        <v>2691</v>
      </c>
      <c r="D2284" s="24" t="s">
        <v>89</v>
      </c>
      <c r="E2284" s="24"/>
      <c r="F2284" s="24"/>
      <c r="G2284" s="24"/>
      <c r="H2284" s="24"/>
      <c r="I2284" s="24" t="s">
        <v>38</v>
      </c>
      <c r="J2284" s="83" t="s">
        <v>2479</v>
      </c>
      <c r="K2284" s="24"/>
    </row>
    <row r="2285" ht="28.5" outlineLevel="1" spans="1:11">
      <c r="A2285" s="24"/>
      <c r="B2285" s="81" t="str">
        <f t="shared" si="55"/>
        <v>152B</v>
      </c>
      <c r="C2285" s="106" t="s">
        <v>2692</v>
      </c>
      <c r="D2285" s="24" t="s">
        <v>89</v>
      </c>
      <c r="E2285" s="24"/>
      <c r="F2285" s="24"/>
      <c r="G2285" s="24"/>
      <c r="H2285" s="24"/>
      <c r="I2285" s="24" t="s">
        <v>38</v>
      </c>
      <c r="J2285" s="83" t="s">
        <v>2481</v>
      </c>
      <c r="K2285" s="24"/>
    </row>
    <row r="2286" outlineLevel="1" spans="1:11">
      <c r="A2286" s="24"/>
      <c r="B2286" s="81" t="str">
        <f t="shared" si="55"/>
        <v>152C</v>
      </c>
      <c r="C2286" s="146" t="s">
        <v>2693</v>
      </c>
      <c r="D2286" s="24" t="s">
        <v>89</v>
      </c>
      <c r="E2286" s="24"/>
      <c r="F2286" s="24"/>
      <c r="G2286" s="24"/>
      <c r="H2286" s="24"/>
      <c r="I2286" s="24" t="s">
        <v>38</v>
      </c>
      <c r="J2286" s="83" t="s">
        <v>2694</v>
      </c>
      <c r="K2286" s="24"/>
    </row>
    <row r="2287" ht="42.75" outlineLevel="1" spans="1:11">
      <c r="A2287" s="24"/>
      <c r="B2287" s="81" t="str">
        <f t="shared" si="55"/>
        <v>152D</v>
      </c>
      <c r="C2287" s="106" t="s">
        <v>2695</v>
      </c>
      <c r="D2287" s="24" t="s">
        <v>89</v>
      </c>
      <c r="E2287" s="24"/>
      <c r="F2287" s="24"/>
      <c r="G2287" s="24"/>
      <c r="H2287" s="24"/>
      <c r="I2287" s="24" t="s">
        <v>38</v>
      </c>
      <c r="J2287" s="83" t="s">
        <v>2477</v>
      </c>
      <c r="K2287" s="24"/>
    </row>
    <row r="2288" ht="28.5" outlineLevel="1" spans="1:11">
      <c r="A2288" s="24"/>
      <c r="B2288" s="81" t="str">
        <f t="shared" si="55"/>
        <v>152E</v>
      </c>
      <c r="C2288" s="106" t="s">
        <v>2696</v>
      </c>
      <c r="D2288" s="24" t="s">
        <v>89</v>
      </c>
      <c r="E2288" s="24"/>
      <c r="F2288" s="24"/>
      <c r="G2288" s="24"/>
      <c r="H2288" s="24"/>
      <c r="I2288" s="24" t="s">
        <v>38</v>
      </c>
      <c r="J2288" s="83" t="s">
        <v>2479</v>
      </c>
      <c r="K2288" s="24"/>
    </row>
    <row r="2289" ht="28.5" outlineLevel="1" spans="1:11">
      <c r="A2289" s="24"/>
      <c r="B2289" s="81" t="str">
        <f t="shared" si="55"/>
        <v>152F</v>
      </c>
      <c r="C2289" s="106" t="s">
        <v>2697</v>
      </c>
      <c r="D2289" s="24" t="s">
        <v>89</v>
      </c>
      <c r="E2289" s="24"/>
      <c r="F2289" s="24"/>
      <c r="G2289" s="24"/>
      <c r="H2289" s="24"/>
      <c r="I2289" s="24" t="s">
        <v>38</v>
      </c>
      <c r="J2289" s="83" t="s">
        <v>2481</v>
      </c>
      <c r="K2289" s="24"/>
    </row>
    <row r="2290" outlineLevel="1" spans="1:11">
      <c r="A2290" s="24"/>
      <c r="B2290" s="81" t="str">
        <f t="shared" si="55"/>
        <v>1530</v>
      </c>
      <c r="C2290" s="146" t="s">
        <v>2698</v>
      </c>
      <c r="D2290" s="24" t="s">
        <v>89</v>
      </c>
      <c r="E2290" s="24"/>
      <c r="F2290" s="24"/>
      <c r="G2290" s="24"/>
      <c r="H2290" s="24"/>
      <c r="I2290" s="24" t="s">
        <v>38</v>
      </c>
      <c r="J2290" s="83" t="s">
        <v>2699</v>
      </c>
      <c r="K2290" s="24"/>
    </row>
    <row r="2291" ht="42.75" outlineLevel="1" spans="1:11">
      <c r="A2291" s="24"/>
      <c r="B2291" s="81" t="str">
        <f t="shared" si="55"/>
        <v>1531</v>
      </c>
      <c r="C2291" s="106" t="s">
        <v>2700</v>
      </c>
      <c r="D2291" s="24" t="s">
        <v>89</v>
      </c>
      <c r="E2291" s="24"/>
      <c r="F2291" s="24"/>
      <c r="G2291" s="24"/>
      <c r="H2291" s="24"/>
      <c r="I2291" s="24" t="s">
        <v>38</v>
      </c>
      <c r="J2291" s="83" t="s">
        <v>2477</v>
      </c>
      <c r="K2291" s="24"/>
    </row>
    <row r="2292" ht="28.5" outlineLevel="1" spans="1:11">
      <c r="A2292" s="24"/>
      <c r="B2292" s="81" t="str">
        <f t="shared" si="55"/>
        <v>1532</v>
      </c>
      <c r="C2292" s="106" t="s">
        <v>2701</v>
      </c>
      <c r="D2292" s="24" t="s">
        <v>89</v>
      </c>
      <c r="E2292" s="24"/>
      <c r="F2292" s="24"/>
      <c r="G2292" s="24"/>
      <c r="H2292" s="24"/>
      <c r="I2292" s="24" t="s">
        <v>38</v>
      </c>
      <c r="J2292" s="83" t="s">
        <v>2479</v>
      </c>
      <c r="K2292" s="24"/>
    </row>
    <row r="2293" ht="28.5" outlineLevel="1" spans="1:11">
      <c r="A2293" s="24"/>
      <c r="B2293" s="81" t="str">
        <f t="shared" si="55"/>
        <v>1533</v>
      </c>
      <c r="C2293" s="106" t="s">
        <v>2702</v>
      </c>
      <c r="D2293" s="24" t="s">
        <v>89</v>
      </c>
      <c r="E2293" s="24"/>
      <c r="F2293" s="24"/>
      <c r="G2293" s="24"/>
      <c r="H2293" s="24"/>
      <c r="I2293" s="24" t="s">
        <v>38</v>
      </c>
      <c r="J2293" s="83" t="s">
        <v>2481</v>
      </c>
      <c r="K2293" s="24"/>
    </row>
    <row r="2294" outlineLevel="1" spans="1:11">
      <c r="A2294" s="24"/>
      <c r="B2294" s="81" t="str">
        <f t="shared" si="55"/>
        <v>1534</v>
      </c>
      <c r="C2294" s="146" t="s">
        <v>2703</v>
      </c>
      <c r="D2294" s="24" t="s">
        <v>89</v>
      </c>
      <c r="E2294" s="24"/>
      <c r="F2294" s="24"/>
      <c r="G2294" s="24"/>
      <c r="H2294" s="24"/>
      <c r="I2294" s="24" t="s">
        <v>38</v>
      </c>
      <c r="J2294" s="83" t="s">
        <v>2704</v>
      </c>
      <c r="K2294" s="24"/>
    </row>
    <row r="2295" ht="42.75" outlineLevel="1" spans="1:11">
      <c r="A2295" s="24"/>
      <c r="B2295" s="81" t="str">
        <f t="shared" si="55"/>
        <v>1535</v>
      </c>
      <c r="C2295" s="106" t="s">
        <v>2705</v>
      </c>
      <c r="D2295" s="24" t="s">
        <v>89</v>
      </c>
      <c r="E2295" s="24"/>
      <c r="F2295" s="24"/>
      <c r="G2295" s="24"/>
      <c r="H2295" s="24"/>
      <c r="I2295" s="24" t="s">
        <v>38</v>
      </c>
      <c r="J2295" s="83" t="s">
        <v>2477</v>
      </c>
      <c r="K2295" s="24"/>
    </row>
    <row r="2296" ht="28.5" outlineLevel="1" spans="1:11">
      <c r="A2296" s="24"/>
      <c r="B2296" s="81" t="str">
        <f t="shared" si="55"/>
        <v>1536</v>
      </c>
      <c r="C2296" s="106" t="s">
        <v>2706</v>
      </c>
      <c r="D2296" s="24" t="s">
        <v>89</v>
      </c>
      <c r="E2296" s="24"/>
      <c r="F2296" s="24"/>
      <c r="G2296" s="24"/>
      <c r="H2296" s="24"/>
      <c r="I2296" s="24" t="s">
        <v>38</v>
      </c>
      <c r="J2296" s="83" t="s">
        <v>2479</v>
      </c>
      <c r="K2296" s="24"/>
    </row>
    <row r="2297" ht="28.5" outlineLevel="1" spans="1:11">
      <c r="A2297" s="24"/>
      <c r="B2297" s="81" t="str">
        <f t="shared" si="55"/>
        <v>1537</v>
      </c>
      <c r="C2297" s="106" t="s">
        <v>2707</v>
      </c>
      <c r="D2297" s="24" t="s">
        <v>89</v>
      </c>
      <c r="E2297" s="24"/>
      <c r="F2297" s="24"/>
      <c r="G2297" s="24"/>
      <c r="H2297" s="24"/>
      <c r="I2297" s="24" t="s">
        <v>38</v>
      </c>
      <c r="J2297" s="83" t="s">
        <v>2481</v>
      </c>
      <c r="K2297" s="24"/>
    </row>
    <row r="2298" outlineLevel="1" spans="1:11">
      <c r="A2298" s="24"/>
      <c r="B2298" s="81" t="str">
        <f t="shared" si="55"/>
        <v>1538</v>
      </c>
      <c r="C2298" s="146" t="s">
        <v>2708</v>
      </c>
      <c r="D2298" s="24" t="s">
        <v>89</v>
      </c>
      <c r="E2298" s="24"/>
      <c r="F2298" s="24"/>
      <c r="G2298" s="24"/>
      <c r="H2298" s="24"/>
      <c r="I2298" s="24" t="s">
        <v>38</v>
      </c>
      <c r="J2298" s="83" t="s">
        <v>2709</v>
      </c>
      <c r="K2298" s="24"/>
    </row>
    <row r="2299" ht="42.75" outlineLevel="1" spans="1:11">
      <c r="A2299" s="24"/>
      <c r="B2299" s="81" t="str">
        <f t="shared" si="55"/>
        <v>1539</v>
      </c>
      <c r="C2299" s="106" t="s">
        <v>2710</v>
      </c>
      <c r="D2299" s="24" t="s">
        <v>89</v>
      </c>
      <c r="E2299" s="24"/>
      <c r="F2299" s="24"/>
      <c r="G2299" s="24"/>
      <c r="H2299" s="24"/>
      <c r="I2299" s="24" t="s">
        <v>38</v>
      </c>
      <c r="J2299" s="83" t="s">
        <v>2477</v>
      </c>
      <c r="K2299" s="24"/>
    </row>
    <row r="2300" ht="28.5" outlineLevel="1" spans="1:11">
      <c r="A2300" s="24"/>
      <c r="B2300" s="81" t="str">
        <f t="shared" si="55"/>
        <v>153A</v>
      </c>
      <c r="C2300" s="106" t="s">
        <v>2711</v>
      </c>
      <c r="D2300" s="24" t="s">
        <v>89</v>
      </c>
      <c r="E2300" s="24"/>
      <c r="F2300" s="24"/>
      <c r="G2300" s="24"/>
      <c r="H2300" s="24"/>
      <c r="I2300" s="24" t="s">
        <v>38</v>
      </c>
      <c r="J2300" s="83" t="s">
        <v>2479</v>
      </c>
      <c r="K2300" s="24"/>
    </row>
    <row r="2301" ht="28.5" outlineLevel="1" spans="1:11">
      <c r="A2301" s="24"/>
      <c r="B2301" s="81" t="str">
        <f t="shared" si="55"/>
        <v>153B</v>
      </c>
      <c r="C2301" s="106" t="s">
        <v>2712</v>
      </c>
      <c r="D2301" s="24" t="s">
        <v>89</v>
      </c>
      <c r="E2301" s="24"/>
      <c r="F2301" s="24"/>
      <c r="G2301" s="24"/>
      <c r="H2301" s="24"/>
      <c r="I2301" s="24" t="s">
        <v>38</v>
      </c>
      <c r="J2301" s="83" t="s">
        <v>2481</v>
      </c>
      <c r="K2301" s="24"/>
    </row>
    <row r="2302" outlineLevel="1" spans="1:11">
      <c r="A2302" s="24"/>
      <c r="B2302" s="81" t="str">
        <f t="shared" si="55"/>
        <v>153C</v>
      </c>
      <c r="C2302" s="146" t="s">
        <v>2713</v>
      </c>
      <c r="D2302" s="24" t="s">
        <v>89</v>
      </c>
      <c r="E2302" s="24"/>
      <c r="F2302" s="24"/>
      <c r="G2302" s="24"/>
      <c r="H2302" s="24"/>
      <c r="I2302" s="24" t="s">
        <v>38</v>
      </c>
      <c r="J2302" s="83" t="s">
        <v>2714</v>
      </c>
      <c r="K2302" s="24"/>
    </row>
    <row r="2303" ht="42.75" outlineLevel="1" spans="1:11">
      <c r="A2303" s="24"/>
      <c r="B2303" s="81" t="str">
        <f t="shared" si="55"/>
        <v>153D</v>
      </c>
      <c r="C2303" s="106" t="s">
        <v>2715</v>
      </c>
      <c r="D2303" s="24" t="s">
        <v>89</v>
      </c>
      <c r="E2303" s="24"/>
      <c r="F2303" s="24"/>
      <c r="G2303" s="24"/>
      <c r="H2303" s="24"/>
      <c r="I2303" s="24" t="s">
        <v>38</v>
      </c>
      <c r="J2303" s="83" t="s">
        <v>2477</v>
      </c>
      <c r="K2303" s="24"/>
    </row>
    <row r="2304" ht="28.5" outlineLevel="1" spans="1:11">
      <c r="A2304" s="24"/>
      <c r="B2304" s="81" t="str">
        <f t="shared" si="55"/>
        <v>153E</v>
      </c>
      <c r="C2304" s="106" t="s">
        <v>2716</v>
      </c>
      <c r="D2304" s="24" t="s">
        <v>89</v>
      </c>
      <c r="E2304" s="24"/>
      <c r="F2304" s="24"/>
      <c r="G2304" s="24"/>
      <c r="H2304" s="24"/>
      <c r="I2304" s="24" t="s">
        <v>38</v>
      </c>
      <c r="J2304" s="83" t="s">
        <v>2479</v>
      </c>
      <c r="K2304" s="24"/>
    </row>
    <row r="2305" ht="28.5" outlineLevel="1" spans="1:11">
      <c r="A2305" s="24"/>
      <c r="B2305" s="81" t="str">
        <f t="shared" si="55"/>
        <v>153F</v>
      </c>
      <c r="C2305" s="106" t="s">
        <v>2717</v>
      </c>
      <c r="D2305" s="24" t="s">
        <v>89</v>
      </c>
      <c r="E2305" s="24"/>
      <c r="F2305" s="24"/>
      <c r="G2305" s="24"/>
      <c r="H2305" s="24"/>
      <c r="I2305" s="24" t="s">
        <v>38</v>
      </c>
      <c r="J2305" s="83" t="s">
        <v>2481</v>
      </c>
      <c r="K2305" s="24"/>
    </row>
    <row r="2306" outlineLevel="1" spans="1:11">
      <c r="A2306" s="24"/>
      <c r="B2306" s="81" t="str">
        <f t="shared" si="55"/>
        <v>1540</v>
      </c>
      <c r="C2306" s="146" t="s">
        <v>2718</v>
      </c>
      <c r="D2306" s="24" t="s">
        <v>89</v>
      </c>
      <c r="E2306" s="24"/>
      <c r="F2306" s="24"/>
      <c r="G2306" s="24"/>
      <c r="H2306" s="24"/>
      <c r="I2306" s="24" t="s">
        <v>38</v>
      </c>
      <c r="J2306" s="83" t="s">
        <v>2719</v>
      </c>
      <c r="K2306" s="24"/>
    </row>
    <row r="2307" ht="42.75" outlineLevel="1" spans="1:11">
      <c r="A2307" s="24"/>
      <c r="B2307" s="81" t="str">
        <f t="shared" si="55"/>
        <v>1541</v>
      </c>
      <c r="C2307" s="106" t="s">
        <v>2720</v>
      </c>
      <c r="D2307" s="24" t="s">
        <v>89</v>
      </c>
      <c r="E2307" s="24"/>
      <c r="F2307" s="24"/>
      <c r="G2307" s="24"/>
      <c r="H2307" s="24"/>
      <c r="I2307" s="24" t="s">
        <v>38</v>
      </c>
      <c r="J2307" s="83" t="s">
        <v>2477</v>
      </c>
      <c r="K2307" s="24"/>
    </row>
    <row r="2308" ht="28.5" outlineLevel="1" spans="1:11">
      <c r="A2308" s="24"/>
      <c r="B2308" s="81" t="str">
        <f t="shared" si="55"/>
        <v>1542</v>
      </c>
      <c r="C2308" s="106" t="s">
        <v>2721</v>
      </c>
      <c r="D2308" s="24" t="s">
        <v>89</v>
      </c>
      <c r="E2308" s="24"/>
      <c r="F2308" s="24"/>
      <c r="G2308" s="24"/>
      <c r="H2308" s="24"/>
      <c r="I2308" s="24" t="s">
        <v>38</v>
      </c>
      <c r="J2308" s="83" t="s">
        <v>2479</v>
      </c>
      <c r="K2308" s="24"/>
    </row>
    <row r="2309" ht="28.5" outlineLevel="1" spans="1:11">
      <c r="A2309" s="24"/>
      <c r="B2309" s="81" t="str">
        <f t="shared" si="55"/>
        <v>1543</v>
      </c>
      <c r="C2309" s="106" t="s">
        <v>2722</v>
      </c>
      <c r="D2309" s="24" t="s">
        <v>89</v>
      </c>
      <c r="E2309" s="24"/>
      <c r="F2309" s="24"/>
      <c r="G2309" s="24"/>
      <c r="H2309" s="24"/>
      <c r="I2309" s="24" t="s">
        <v>38</v>
      </c>
      <c r="J2309" s="83" t="s">
        <v>2481</v>
      </c>
      <c r="K2309" s="24"/>
    </row>
    <row r="2310" outlineLevel="1" spans="1:11">
      <c r="A2310" s="24"/>
      <c r="B2310" s="81" t="str">
        <f t="shared" si="55"/>
        <v>1544</v>
      </c>
      <c r="C2310" s="146" t="s">
        <v>2723</v>
      </c>
      <c r="D2310" s="24" t="s">
        <v>89</v>
      </c>
      <c r="E2310" s="24"/>
      <c r="F2310" s="24"/>
      <c r="G2310" s="24"/>
      <c r="H2310" s="24"/>
      <c r="I2310" s="24" t="s">
        <v>38</v>
      </c>
      <c r="J2310" s="83" t="s">
        <v>2724</v>
      </c>
      <c r="K2310" s="24"/>
    </row>
    <row r="2311" ht="42.75" outlineLevel="1" spans="1:11">
      <c r="A2311" s="24"/>
      <c r="B2311" s="81" t="str">
        <f t="shared" si="55"/>
        <v>1545</v>
      </c>
      <c r="C2311" s="106" t="s">
        <v>2725</v>
      </c>
      <c r="D2311" s="24" t="s">
        <v>89</v>
      </c>
      <c r="E2311" s="24"/>
      <c r="F2311" s="24"/>
      <c r="G2311" s="24"/>
      <c r="H2311" s="24"/>
      <c r="I2311" s="24" t="s">
        <v>38</v>
      </c>
      <c r="J2311" s="83" t="s">
        <v>2477</v>
      </c>
      <c r="K2311" s="24"/>
    </row>
    <row r="2312" ht="28.5" outlineLevel="1" spans="1:11">
      <c r="A2312" s="24"/>
      <c r="B2312" s="81" t="str">
        <f t="shared" si="55"/>
        <v>1546</v>
      </c>
      <c r="C2312" s="106" t="s">
        <v>2726</v>
      </c>
      <c r="D2312" s="24" t="s">
        <v>89</v>
      </c>
      <c r="E2312" s="24"/>
      <c r="F2312" s="24"/>
      <c r="G2312" s="24"/>
      <c r="H2312" s="24"/>
      <c r="I2312" s="24" t="s">
        <v>38</v>
      </c>
      <c r="J2312" s="83" t="s">
        <v>2479</v>
      </c>
      <c r="K2312" s="24"/>
    </row>
    <row r="2313" ht="28.5" outlineLevel="1" spans="1:11">
      <c r="A2313" s="24"/>
      <c r="B2313" s="81" t="str">
        <f t="shared" si="55"/>
        <v>1547</v>
      </c>
      <c r="C2313" s="106" t="s">
        <v>2727</v>
      </c>
      <c r="D2313" s="24" t="s">
        <v>89</v>
      </c>
      <c r="E2313" s="24"/>
      <c r="F2313" s="24"/>
      <c r="G2313" s="24"/>
      <c r="H2313" s="24"/>
      <c r="I2313" s="24" t="s">
        <v>38</v>
      </c>
      <c r="J2313" s="83" t="s">
        <v>2481</v>
      </c>
      <c r="K2313" s="24"/>
    </row>
    <row r="2314" outlineLevel="1" spans="1:11">
      <c r="A2314" s="24"/>
      <c r="B2314" s="81" t="str">
        <f t="shared" si="55"/>
        <v>1548</v>
      </c>
      <c r="C2314" s="146" t="s">
        <v>2728</v>
      </c>
      <c r="D2314" s="24" t="s">
        <v>89</v>
      </c>
      <c r="E2314" s="24"/>
      <c r="F2314" s="24"/>
      <c r="G2314" s="24"/>
      <c r="H2314" s="24"/>
      <c r="I2314" s="24" t="s">
        <v>38</v>
      </c>
      <c r="J2314" s="83" t="s">
        <v>2729</v>
      </c>
      <c r="K2314" s="24"/>
    </row>
    <row r="2315" ht="42.75" outlineLevel="1" spans="1:11">
      <c r="A2315" s="24"/>
      <c r="B2315" s="81" t="str">
        <f t="shared" si="55"/>
        <v>1549</v>
      </c>
      <c r="C2315" s="106" t="s">
        <v>2730</v>
      </c>
      <c r="D2315" s="24" t="s">
        <v>89</v>
      </c>
      <c r="E2315" s="24"/>
      <c r="F2315" s="24"/>
      <c r="G2315" s="24"/>
      <c r="H2315" s="24"/>
      <c r="I2315" s="24" t="s">
        <v>38</v>
      </c>
      <c r="J2315" s="83" t="s">
        <v>2477</v>
      </c>
      <c r="K2315" s="24"/>
    </row>
    <row r="2316" ht="28.5" outlineLevel="1" spans="1:11">
      <c r="A2316" s="24"/>
      <c r="B2316" s="81" t="str">
        <f t="shared" si="55"/>
        <v>154A</v>
      </c>
      <c r="C2316" s="106" t="s">
        <v>2731</v>
      </c>
      <c r="D2316" s="24" t="s">
        <v>89</v>
      </c>
      <c r="E2316" s="24"/>
      <c r="F2316" s="24"/>
      <c r="G2316" s="24"/>
      <c r="H2316" s="24"/>
      <c r="I2316" s="24" t="s">
        <v>38</v>
      </c>
      <c r="J2316" s="83" t="s">
        <v>2479</v>
      </c>
      <c r="K2316" s="24"/>
    </row>
    <row r="2317" ht="28.5" outlineLevel="1" spans="1:11">
      <c r="A2317" s="24"/>
      <c r="B2317" s="81" t="str">
        <f t="shared" si="55"/>
        <v>154B</v>
      </c>
      <c r="C2317" s="106" t="s">
        <v>2732</v>
      </c>
      <c r="D2317" s="24" t="s">
        <v>89</v>
      </c>
      <c r="E2317" s="24"/>
      <c r="F2317" s="24"/>
      <c r="G2317" s="24"/>
      <c r="H2317" s="24"/>
      <c r="I2317" s="24" t="s">
        <v>38</v>
      </c>
      <c r="J2317" s="83" t="s">
        <v>2481</v>
      </c>
      <c r="K2317" s="24"/>
    </row>
    <row r="2318" outlineLevel="1" spans="1:11">
      <c r="A2318" s="24"/>
      <c r="B2318" s="81" t="str">
        <f t="shared" si="55"/>
        <v>154C</v>
      </c>
      <c r="C2318" s="146" t="s">
        <v>2733</v>
      </c>
      <c r="D2318" s="24" t="s">
        <v>89</v>
      </c>
      <c r="E2318" s="24"/>
      <c r="F2318" s="24"/>
      <c r="G2318" s="24"/>
      <c r="H2318" s="24"/>
      <c r="I2318" s="24" t="s">
        <v>38</v>
      </c>
      <c r="J2318" s="83" t="s">
        <v>2734</v>
      </c>
      <c r="K2318" s="24"/>
    </row>
    <row r="2319" ht="42.75" outlineLevel="1" spans="1:11">
      <c r="A2319" s="24"/>
      <c r="B2319" s="81" t="str">
        <f t="shared" si="55"/>
        <v>154D</v>
      </c>
      <c r="C2319" s="106" t="s">
        <v>2735</v>
      </c>
      <c r="D2319" s="24" t="s">
        <v>89</v>
      </c>
      <c r="E2319" s="24"/>
      <c r="F2319" s="24"/>
      <c r="G2319" s="24"/>
      <c r="H2319" s="24"/>
      <c r="I2319" s="24" t="s">
        <v>38</v>
      </c>
      <c r="J2319" s="83" t="s">
        <v>2477</v>
      </c>
      <c r="K2319" s="24"/>
    </row>
    <row r="2320" ht="28.5" outlineLevel="1" spans="1:11">
      <c r="A2320" s="24"/>
      <c r="B2320" s="81" t="str">
        <f t="shared" si="55"/>
        <v>154E</v>
      </c>
      <c r="C2320" s="106" t="s">
        <v>2736</v>
      </c>
      <c r="D2320" s="24" t="s">
        <v>89</v>
      </c>
      <c r="E2320" s="24"/>
      <c r="F2320" s="24"/>
      <c r="G2320" s="24"/>
      <c r="H2320" s="24"/>
      <c r="I2320" s="24" t="s">
        <v>38</v>
      </c>
      <c r="J2320" s="83" t="s">
        <v>2479</v>
      </c>
      <c r="K2320" s="24"/>
    </row>
    <row r="2321" ht="28.5" outlineLevel="1" spans="1:11">
      <c r="A2321" s="24"/>
      <c r="B2321" s="81" t="str">
        <f t="shared" si="55"/>
        <v>154F</v>
      </c>
      <c r="C2321" s="106" t="s">
        <v>2737</v>
      </c>
      <c r="D2321" s="24" t="s">
        <v>89</v>
      </c>
      <c r="E2321" s="24"/>
      <c r="F2321" s="24"/>
      <c r="G2321" s="24"/>
      <c r="H2321" s="24"/>
      <c r="I2321" s="24" t="s">
        <v>38</v>
      </c>
      <c r="J2321" s="83" t="s">
        <v>2481</v>
      </c>
      <c r="K2321" s="24"/>
    </row>
    <row r="2322" outlineLevel="1" spans="1:11">
      <c r="A2322" s="24"/>
      <c r="B2322" s="81" t="str">
        <f t="shared" si="55"/>
        <v>1550</v>
      </c>
      <c r="C2322" s="146" t="s">
        <v>2738</v>
      </c>
      <c r="D2322" s="24" t="s">
        <v>89</v>
      </c>
      <c r="E2322" s="24"/>
      <c r="F2322" s="24"/>
      <c r="G2322" s="24"/>
      <c r="H2322" s="24"/>
      <c r="I2322" s="24" t="s">
        <v>38</v>
      </c>
      <c r="J2322" s="83" t="s">
        <v>2739</v>
      </c>
      <c r="K2322" s="24"/>
    </row>
    <row r="2323" ht="42.75" outlineLevel="1" spans="1:11">
      <c r="A2323" s="24"/>
      <c r="B2323" s="81" t="str">
        <f t="shared" si="55"/>
        <v>1551</v>
      </c>
      <c r="C2323" s="106" t="s">
        <v>2740</v>
      </c>
      <c r="D2323" s="24" t="s">
        <v>89</v>
      </c>
      <c r="E2323" s="24"/>
      <c r="F2323" s="24"/>
      <c r="G2323" s="24"/>
      <c r="H2323" s="24"/>
      <c r="I2323" s="24" t="s">
        <v>38</v>
      </c>
      <c r="J2323" s="83" t="s">
        <v>2477</v>
      </c>
      <c r="K2323" s="24"/>
    </row>
    <row r="2324" ht="28.5" outlineLevel="1" spans="1:11">
      <c r="A2324" s="24"/>
      <c r="B2324" s="81" t="str">
        <f t="shared" si="55"/>
        <v>1552</v>
      </c>
      <c r="C2324" s="106" t="s">
        <v>2741</v>
      </c>
      <c r="D2324" s="24" t="s">
        <v>89</v>
      </c>
      <c r="E2324" s="24"/>
      <c r="F2324" s="24"/>
      <c r="G2324" s="24"/>
      <c r="H2324" s="24"/>
      <c r="I2324" s="24" t="s">
        <v>38</v>
      </c>
      <c r="J2324" s="83" t="s">
        <v>2479</v>
      </c>
      <c r="K2324" s="24"/>
    </row>
    <row r="2325" ht="28.5" outlineLevel="1" spans="1:11">
      <c r="A2325" s="24"/>
      <c r="B2325" s="81" t="str">
        <f t="shared" si="55"/>
        <v>1553</v>
      </c>
      <c r="C2325" s="106" t="s">
        <v>2742</v>
      </c>
      <c r="D2325" s="24" t="s">
        <v>89</v>
      </c>
      <c r="E2325" s="24"/>
      <c r="F2325" s="24"/>
      <c r="G2325" s="24"/>
      <c r="H2325" s="24"/>
      <c r="I2325" s="24" t="s">
        <v>38</v>
      </c>
      <c r="J2325" s="83" t="s">
        <v>2481</v>
      </c>
      <c r="K2325" s="24"/>
    </row>
    <row r="2326" outlineLevel="1" spans="1:11">
      <c r="A2326" s="24"/>
      <c r="B2326" s="81" t="str">
        <f t="shared" si="55"/>
        <v>1554</v>
      </c>
      <c r="C2326" s="146" t="s">
        <v>2743</v>
      </c>
      <c r="D2326" s="24" t="s">
        <v>89</v>
      </c>
      <c r="E2326" s="24"/>
      <c r="F2326" s="24"/>
      <c r="G2326" s="24"/>
      <c r="H2326" s="24"/>
      <c r="I2326" s="24" t="s">
        <v>38</v>
      </c>
      <c r="J2326" s="83" t="s">
        <v>2744</v>
      </c>
      <c r="K2326" s="24"/>
    </row>
    <row r="2327" ht="42.75" outlineLevel="1" spans="1:11">
      <c r="A2327" s="24"/>
      <c r="B2327" s="81" t="str">
        <f t="shared" si="55"/>
        <v>1555</v>
      </c>
      <c r="C2327" s="106" t="s">
        <v>2745</v>
      </c>
      <c r="D2327" s="24" t="s">
        <v>89</v>
      </c>
      <c r="E2327" s="24"/>
      <c r="F2327" s="24"/>
      <c r="G2327" s="24"/>
      <c r="H2327" s="24"/>
      <c r="I2327" s="24" t="s">
        <v>38</v>
      </c>
      <c r="J2327" s="83" t="s">
        <v>2477</v>
      </c>
      <c r="K2327" s="24"/>
    </row>
    <row r="2328" ht="28.5" outlineLevel="1" spans="1:11">
      <c r="A2328" s="24"/>
      <c r="B2328" s="81" t="str">
        <f t="shared" si="55"/>
        <v>1556</v>
      </c>
      <c r="C2328" s="106" t="s">
        <v>2746</v>
      </c>
      <c r="D2328" s="24" t="s">
        <v>89</v>
      </c>
      <c r="E2328" s="24"/>
      <c r="F2328" s="24"/>
      <c r="G2328" s="24"/>
      <c r="H2328" s="24"/>
      <c r="I2328" s="24" t="s">
        <v>38</v>
      </c>
      <c r="J2328" s="83" t="s">
        <v>2479</v>
      </c>
      <c r="K2328" s="24"/>
    </row>
    <row r="2329" ht="28.5" outlineLevel="1" spans="1:11">
      <c r="A2329" s="24"/>
      <c r="B2329" s="81" t="str">
        <f t="shared" si="55"/>
        <v>1557</v>
      </c>
      <c r="C2329" s="106" t="s">
        <v>2747</v>
      </c>
      <c r="D2329" s="24" t="s">
        <v>89</v>
      </c>
      <c r="E2329" s="24"/>
      <c r="F2329" s="24"/>
      <c r="G2329" s="24"/>
      <c r="H2329" s="24"/>
      <c r="I2329" s="24" t="s">
        <v>38</v>
      </c>
      <c r="J2329" s="83" t="s">
        <v>2481</v>
      </c>
      <c r="K2329" s="24"/>
    </row>
    <row r="2330" outlineLevel="1" spans="1:11">
      <c r="A2330" s="24"/>
      <c r="B2330" s="81" t="str">
        <f t="shared" si="55"/>
        <v>1558</v>
      </c>
      <c r="C2330" s="146" t="s">
        <v>2748</v>
      </c>
      <c r="D2330" s="24" t="s">
        <v>89</v>
      </c>
      <c r="E2330" s="24"/>
      <c r="F2330" s="24"/>
      <c r="G2330" s="24"/>
      <c r="H2330" s="24"/>
      <c r="I2330" s="24" t="s">
        <v>38</v>
      </c>
      <c r="J2330" s="83" t="s">
        <v>2749</v>
      </c>
      <c r="K2330" s="24"/>
    </row>
    <row r="2331" ht="42.75" outlineLevel="1" spans="1:11">
      <c r="A2331" s="24"/>
      <c r="B2331" s="81" t="str">
        <f t="shared" si="55"/>
        <v>1559</v>
      </c>
      <c r="C2331" s="106" t="s">
        <v>2750</v>
      </c>
      <c r="D2331" s="24" t="s">
        <v>89</v>
      </c>
      <c r="E2331" s="24"/>
      <c r="F2331" s="24"/>
      <c r="G2331" s="24"/>
      <c r="H2331" s="24"/>
      <c r="I2331" s="24" t="s">
        <v>38</v>
      </c>
      <c r="J2331" s="83" t="s">
        <v>2477</v>
      </c>
      <c r="K2331" s="24"/>
    </row>
    <row r="2332" ht="28.5" outlineLevel="1" spans="1:11">
      <c r="A2332" s="24"/>
      <c r="B2332" s="81" t="str">
        <f t="shared" si="55"/>
        <v>155A</v>
      </c>
      <c r="C2332" s="106" t="s">
        <v>2751</v>
      </c>
      <c r="D2332" s="24" t="s">
        <v>89</v>
      </c>
      <c r="E2332" s="24"/>
      <c r="F2332" s="24"/>
      <c r="G2332" s="24"/>
      <c r="H2332" s="24"/>
      <c r="I2332" s="24" t="s">
        <v>38</v>
      </c>
      <c r="J2332" s="83" t="s">
        <v>2479</v>
      </c>
      <c r="K2332" s="24"/>
    </row>
    <row r="2333" ht="28.5" outlineLevel="1" spans="1:11">
      <c r="A2333" s="24"/>
      <c r="B2333" s="81" t="str">
        <f t="shared" si="55"/>
        <v>155B</v>
      </c>
      <c r="C2333" s="106" t="s">
        <v>2752</v>
      </c>
      <c r="D2333" s="24" t="s">
        <v>89</v>
      </c>
      <c r="E2333" s="24"/>
      <c r="F2333" s="24"/>
      <c r="G2333" s="24"/>
      <c r="H2333" s="24"/>
      <c r="I2333" s="24" t="s">
        <v>38</v>
      </c>
      <c r="J2333" s="83" t="s">
        <v>2481</v>
      </c>
      <c r="K2333" s="24"/>
    </row>
    <row r="2334" outlineLevel="1" spans="1:11">
      <c r="A2334" s="24"/>
      <c r="B2334" s="81" t="str">
        <f t="shared" si="55"/>
        <v>155C</v>
      </c>
      <c r="C2334" s="146" t="s">
        <v>2753</v>
      </c>
      <c r="D2334" s="24" t="s">
        <v>89</v>
      </c>
      <c r="E2334" s="24"/>
      <c r="F2334" s="24"/>
      <c r="G2334" s="24"/>
      <c r="H2334" s="24"/>
      <c r="I2334" s="24" t="s">
        <v>38</v>
      </c>
      <c r="J2334" s="83" t="s">
        <v>2754</v>
      </c>
      <c r="K2334" s="24"/>
    </row>
    <row r="2335" ht="42.75" outlineLevel="1" spans="1:11">
      <c r="A2335" s="24"/>
      <c r="B2335" s="81" t="str">
        <f t="shared" si="55"/>
        <v>155D</v>
      </c>
      <c r="C2335" s="106" t="s">
        <v>2755</v>
      </c>
      <c r="D2335" s="24" t="s">
        <v>89</v>
      </c>
      <c r="E2335" s="24"/>
      <c r="F2335" s="24"/>
      <c r="G2335" s="24"/>
      <c r="H2335" s="24"/>
      <c r="I2335" s="24" t="s">
        <v>38</v>
      </c>
      <c r="J2335" s="83" t="s">
        <v>2477</v>
      </c>
      <c r="K2335" s="24"/>
    </row>
    <row r="2336" ht="28.5" outlineLevel="1" spans="1:11">
      <c r="A2336" s="24"/>
      <c r="B2336" s="81" t="str">
        <f t="shared" si="55"/>
        <v>155E</v>
      </c>
      <c r="C2336" s="106" t="s">
        <v>2756</v>
      </c>
      <c r="D2336" s="24" t="s">
        <v>89</v>
      </c>
      <c r="E2336" s="24"/>
      <c r="F2336" s="24"/>
      <c r="G2336" s="24"/>
      <c r="H2336" s="24"/>
      <c r="I2336" s="24" t="s">
        <v>38</v>
      </c>
      <c r="J2336" s="83" t="s">
        <v>2479</v>
      </c>
      <c r="K2336" s="24"/>
    </row>
    <row r="2337" ht="28.5" outlineLevel="1" spans="1:11">
      <c r="A2337" s="24"/>
      <c r="B2337" s="81" t="str">
        <f t="shared" si="55"/>
        <v>155F</v>
      </c>
      <c r="C2337" s="106" t="s">
        <v>2757</v>
      </c>
      <c r="D2337" s="24" t="s">
        <v>89</v>
      </c>
      <c r="E2337" s="24"/>
      <c r="F2337" s="24"/>
      <c r="G2337" s="24"/>
      <c r="H2337" s="24"/>
      <c r="I2337" s="24" t="s">
        <v>38</v>
      </c>
      <c r="J2337" s="83" t="s">
        <v>2481</v>
      </c>
      <c r="K2337" s="24"/>
    </row>
    <row r="2338" outlineLevel="1" spans="1:11">
      <c r="A2338" s="24"/>
      <c r="B2338" s="81" t="str">
        <f t="shared" si="55"/>
        <v>1560</v>
      </c>
      <c r="C2338" s="146" t="s">
        <v>2758</v>
      </c>
      <c r="D2338" s="24" t="s">
        <v>89</v>
      </c>
      <c r="E2338" s="24"/>
      <c r="F2338" s="24"/>
      <c r="G2338" s="24"/>
      <c r="H2338" s="24"/>
      <c r="I2338" s="24" t="s">
        <v>38</v>
      </c>
      <c r="J2338" s="83" t="s">
        <v>2759</v>
      </c>
      <c r="K2338" s="24"/>
    </row>
    <row r="2339" ht="42.75" outlineLevel="1" spans="1:11">
      <c r="A2339" s="24"/>
      <c r="B2339" s="81" t="str">
        <f t="shared" si="55"/>
        <v>1561</v>
      </c>
      <c r="C2339" s="106" t="s">
        <v>2760</v>
      </c>
      <c r="D2339" s="24" t="s">
        <v>89</v>
      </c>
      <c r="E2339" s="24"/>
      <c r="F2339" s="24"/>
      <c r="G2339" s="24"/>
      <c r="H2339" s="24"/>
      <c r="I2339" s="24" t="s">
        <v>38</v>
      </c>
      <c r="J2339" s="83" t="s">
        <v>2477</v>
      </c>
      <c r="K2339" s="24"/>
    </row>
    <row r="2340" ht="28.5" outlineLevel="1" spans="1:11">
      <c r="A2340" s="24"/>
      <c r="B2340" s="81" t="str">
        <f t="shared" si="55"/>
        <v>1562</v>
      </c>
      <c r="C2340" s="106" t="s">
        <v>2761</v>
      </c>
      <c r="D2340" s="24" t="s">
        <v>89</v>
      </c>
      <c r="E2340" s="24"/>
      <c r="F2340" s="24"/>
      <c r="G2340" s="24"/>
      <c r="H2340" s="24"/>
      <c r="I2340" s="24" t="s">
        <v>38</v>
      </c>
      <c r="J2340" s="83" t="s">
        <v>2479</v>
      </c>
      <c r="K2340" s="24"/>
    </row>
    <row r="2341" ht="28.5" outlineLevel="1" spans="1:11">
      <c r="A2341" s="24"/>
      <c r="B2341" s="81" t="str">
        <f t="shared" si="55"/>
        <v>1563</v>
      </c>
      <c r="C2341" s="106" t="s">
        <v>2762</v>
      </c>
      <c r="D2341" s="24" t="s">
        <v>89</v>
      </c>
      <c r="E2341" s="24"/>
      <c r="F2341" s="24"/>
      <c r="G2341" s="24"/>
      <c r="H2341" s="24"/>
      <c r="I2341" s="24" t="s">
        <v>38</v>
      </c>
      <c r="J2341" s="83" t="s">
        <v>2481</v>
      </c>
      <c r="K2341" s="24"/>
    </row>
    <row r="2342" outlineLevel="1" spans="1:11">
      <c r="A2342" s="24"/>
      <c r="B2342" s="81" t="str">
        <f t="shared" si="55"/>
        <v>1564</v>
      </c>
      <c r="C2342" s="146" t="s">
        <v>2763</v>
      </c>
      <c r="D2342" s="24" t="s">
        <v>89</v>
      </c>
      <c r="E2342" s="24"/>
      <c r="F2342" s="24"/>
      <c r="G2342" s="24"/>
      <c r="H2342" s="24"/>
      <c r="I2342" s="24" t="s">
        <v>38</v>
      </c>
      <c r="J2342" s="83" t="s">
        <v>2764</v>
      </c>
      <c r="K2342" s="24"/>
    </row>
    <row r="2343" ht="42.75" outlineLevel="1" spans="1:11">
      <c r="A2343" s="24"/>
      <c r="B2343" s="81" t="str">
        <f t="shared" si="55"/>
        <v>1565</v>
      </c>
      <c r="C2343" s="106" t="s">
        <v>2765</v>
      </c>
      <c r="D2343" s="24" t="s">
        <v>89</v>
      </c>
      <c r="E2343" s="24"/>
      <c r="F2343" s="24"/>
      <c r="G2343" s="24"/>
      <c r="H2343" s="24"/>
      <c r="I2343" s="24" t="s">
        <v>38</v>
      </c>
      <c r="J2343" s="83" t="s">
        <v>2477</v>
      </c>
      <c r="K2343" s="24"/>
    </row>
    <row r="2344" ht="28.5" outlineLevel="1" spans="1:11">
      <c r="A2344" s="24"/>
      <c r="B2344" s="81" t="str">
        <f t="shared" si="55"/>
        <v>1566</v>
      </c>
      <c r="C2344" s="106" t="s">
        <v>2766</v>
      </c>
      <c r="D2344" s="24" t="s">
        <v>89</v>
      </c>
      <c r="E2344" s="24"/>
      <c r="F2344" s="24"/>
      <c r="G2344" s="24"/>
      <c r="H2344" s="24"/>
      <c r="I2344" s="24" t="s">
        <v>38</v>
      </c>
      <c r="J2344" s="83" t="s">
        <v>2479</v>
      </c>
      <c r="K2344" s="24"/>
    </row>
    <row r="2345" ht="28.5" outlineLevel="1" spans="1:11">
      <c r="A2345" s="24"/>
      <c r="B2345" s="81" t="str">
        <f t="shared" si="55"/>
        <v>1567</v>
      </c>
      <c r="C2345" s="106" t="s">
        <v>2767</v>
      </c>
      <c r="D2345" s="24" t="s">
        <v>89</v>
      </c>
      <c r="E2345" s="24"/>
      <c r="F2345" s="24"/>
      <c r="G2345" s="24"/>
      <c r="H2345" s="24"/>
      <c r="I2345" s="24" t="s">
        <v>38</v>
      </c>
      <c r="J2345" s="83" t="s">
        <v>2481</v>
      </c>
      <c r="K2345" s="24"/>
    </row>
    <row r="2346" outlineLevel="1" spans="1:11">
      <c r="A2346" s="24"/>
      <c r="B2346" s="81" t="str">
        <f t="shared" si="55"/>
        <v>1568</v>
      </c>
      <c r="C2346" s="146" t="s">
        <v>2768</v>
      </c>
      <c r="D2346" s="24" t="s">
        <v>89</v>
      </c>
      <c r="E2346" s="24"/>
      <c r="F2346" s="24"/>
      <c r="G2346" s="24"/>
      <c r="H2346" s="24"/>
      <c r="I2346" s="24" t="s">
        <v>38</v>
      </c>
      <c r="J2346" s="83" t="s">
        <v>2769</v>
      </c>
      <c r="K2346" s="24"/>
    </row>
    <row r="2347" ht="42.75" outlineLevel="1" spans="1:11">
      <c r="A2347" s="24"/>
      <c r="B2347" s="81" t="str">
        <f t="shared" si="55"/>
        <v>1569</v>
      </c>
      <c r="C2347" s="106" t="s">
        <v>2770</v>
      </c>
      <c r="D2347" s="24" t="s">
        <v>89</v>
      </c>
      <c r="E2347" s="24"/>
      <c r="F2347" s="24"/>
      <c r="G2347" s="24"/>
      <c r="H2347" s="24"/>
      <c r="I2347" s="24" t="s">
        <v>38</v>
      </c>
      <c r="J2347" s="83" t="s">
        <v>2477</v>
      </c>
      <c r="K2347" s="24"/>
    </row>
    <row r="2348" ht="28.5" outlineLevel="1" spans="1:11">
      <c r="A2348" s="24"/>
      <c r="B2348" s="81" t="str">
        <f t="shared" si="55"/>
        <v>156A</v>
      </c>
      <c r="C2348" s="106" t="s">
        <v>2771</v>
      </c>
      <c r="D2348" s="24" t="s">
        <v>89</v>
      </c>
      <c r="E2348" s="24"/>
      <c r="F2348" s="24"/>
      <c r="G2348" s="24"/>
      <c r="H2348" s="24"/>
      <c r="I2348" s="24" t="s">
        <v>38</v>
      </c>
      <c r="J2348" s="83" t="s">
        <v>2479</v>
      </c>
      <c r="K2348" s="24"/>
    </row>
    <row r="2349" ht="28.5" outlineLevel="1" spans="1:11">
      <c r="A2349" s="24"/>
      <c r="B2349" s="81" t="str">
        <f t="shared" si="55"/>
        <v>156B</v>
      </c>
      <c r="C2349" s="106" t="s">
        <v>2772</v>
      </c>
      <c r="D2349" s="24" t="s">
        <v>89</v>
      </c>
      <c r="E2349" s="24"/>
      <c r="F2349" s="24"/>
      <c r="G2349" s="24"/>
      <c r="H2349" s="24"/>
      <c r="I2349" s="24" t="s">
        <v>38</v>
      </c>
      <c r="J2349" s="83" t="s">
        <v>2481</v>
      </c>
      <c r="K2349" s="24"/>
    </row>
    <row r="2350" outlineLevel="1" spans="1:11">
      <c r="A2350" s="24"/>
      <c r="B2350" s="81" t="str">
        <f t="shared" si="55"/>
        <v>156C</v>
      </c>
      <c r="C2350" s="146" t="s">
        <v>2773</v>
      </c>
      <c r="D2350" s="24" t="s">
        <v>89</v>
      </c>
      <c r="E2350" s="24"/>
      <c r="F2350" s="24"/>
      <c r="G2350" s="24"/>
      <c r="H2350" s="24"/>
      <c r="I2350" s="24" t="s">
        <v>38</v>
      </c>
      <c r="J2350" s="83" t="s">
        <v>2774</v>
      </c>
      <c r="K2350" s="24"/>
    </row>
    <row r="2351" ht="42.75" outlineLevel="1" spans="1:11">
      <c r="A2351" s="24"/>
      <c r="B2351" s="81" t="str">
        <f t="shared" si="55"/>
        <v>156D</v>
      </c>
      <c r="C2351" s="106" t="s">
        <v>2775</v>
      </c>
      <c r="D2351" s="24" t="s">
        <v>89</v>
      </c>
      <c r="E2351" s="24"/>
      <c r="F2351" s="24"/>
      <c r="G2351" s="24"/>
      <c r="H2351" s="24"/>
      <c r="I2351" s="24" t="s">
        <v>38</v>
      </c>
      <c r="J2351" s="83" t="s">
        <v>2477</v>
      </c>
      <c r="K2351" s="24"/>
    </row>
    <row r="2352" ht="28.5" outlineLevel="1" spans="1:11">
      <c r="A2352" s="24"/>
      <c r="B2352" s="81" t="str">
        <f t="shared" si="55"/>
        <v>156E</v>
      </c>
      <c r="C2352" s="106" t="s">
        <v>2776</v>
      </c>
      <c r="D2352" s="24" t="s">
        <v>89</v>
      </c>
      <c r="E2352" s="24"/>
      <c r="F2352" s="24"/>
      <c r="G2352" s="24"/>
      <c r="H2352" s="24"/>
      <c r="I2352" s="24" t="s">
        <v>38</v>
      </c>
      <c r="J2352" s="83" t="s">
        <v>2479</v>
      </c>
      <c r="K2352" s="24"/>
    </row>
    <row r="2353" ht="28.5" outlineLevel="1" spans="1:11">
      <c r="A2353" s="24"/>
      <c r="B2353" s="81" t="str">
        <f t="shared" si="55"/>
        <v>156F</v>
      </c>
      <c r="C2353" s="106" t="s">
        <v>2777</v>
      </c>
      <c r="D2353" s="24" t="s">
        <v>89</v>
      </c>
      <c r="E2353" s="24"/>
      <c r="F2353" s="24"/>
      <c r="G2353" s="24"/>
      <c r="H2353" s="24"/>
      <c r="I2353" s="24" t="s">
        <v>38</v>
      </c>
      <c r="J2353" s="83" t="s">
        <v>2481</v>
      </c>
      <c r="K2353" s="24"/>
    </row>
    <row r="2354" outlineLevel="1" spans="1:11">
      <c r="A2354" s="24"/>
      <c r="B2354" s="81" t="str">
        <f t="shared" si="55"/>
        <v>1570</v>
      </c>
      <c r="C2354" s="146" t="s">
        <v>2778</v>
      </c>
      <c r="D2354" s="24" t="s">
        <v>89</v>
      </c>
      <c r="E2354" s="24"/>
      <c r="F2354" s="24"/>
      <c r="G2354" s="24"/>
      <c r="H2354" s="24"/>
      <c r="I2354" s="24" t="s">
        <v>38</v>
      </c>
      <c r="J2354" s="83" t="s">
        <v>2779</v>
      </c>
      <c r="K2354" s="24"/>
    </row>
    <row r="2355" ht="42.75" outlineLevel="1" spans="1:11">
      <c r="A2355" s="24"/>
      <c r="B2355" s="81" t="str">
        <f t="shared" si="55"/>
        <v>1571</v>
      </c>
      <c r="C2355" s="106" t="s">
        <v>2780</v>
      </c>
      <c r="D2355" s="24" t="s">
        <v>89</v>
      </c>
      <c r="E2355" s="24"/>
      <c r="F2355" s="24"/>
      <c r="G2355" s="24"/>
      <c r="H2355" s="24"/>
      <c r="I2355" s="24" t="s">
        <v>38</v>
      </c>
      <c r="J2355" s="83" t="s">
        <v>2477</v>
      </c>
      <c r="K2355" s="24"/>
    </row>
    <row r="2356" ht="28.5" outlineLevel="1" spans="1:11">
      <c r="A2356" s="24"/>
      <c r="B2356" s="81" t="str">
        <f t="shared" si="55"/>
        <v>1572</v>
      </c>
      <c r="C2356" s="106" t="s">
        <v>2781</v>
      </c>
      <c r="D2356" s="24" t="s">
        <v>89</v>
      </c>
      <c r="E2356" s="24"/>
      <c r="F2356" s="24"/>
      <c r="G2356" s="24"/>
      <c r="H2356" s="24"/>
      <c r="I2356" s="24" t="s">
        <v>38</v>
      </c>
      <c r="J2356" s="83" t="s">
        <v>2479</v>
      </c>
      <c r="K2356" s="24"/>
    </row>
    <row r="2357" ht="28.5" outlineLevel="1" spans="1:11">
      <c r="A2357" s="24"/>
      <c r="B2357" s="81" t="str">
        <f t="shared" si="55"/>
        <v>1573</v>
      </c>
      <c r="C2357" s="106" t="s">
        <v>2782</v>
      </c>
      <c r="D2357" s="24" t="s">
        <v>89</v>
      </c>
      <c r="E2357" s="24"/>
      <c r="F2357" s="24"/>
      <c r="G2357" s="24"/>
      <c r="H2357" s="24"/>
      <c r="I2357" s="24" t="s">
        <v>38</v>
      </c>
      <c r="J2357" s="83" t="s">
        <v>2481</v>
      </c>
      <c r="K2357" s="24"/>
    </row>
    <row r="2358" outlineLevel="1" spans="1:11">
      <c r="A2358" s="24"/>
      <c r="B2358" s="81" t="str">
        <f t="shared" si="55"/>
        <v>1574</v>
      </c>
      <c r="C2358" s="146" t="s">
        <v>2783</v>
      </c>
      <c r="D2358" s="24" t="s">
        <v>89</v>
      </c>
      <c r="E2358" s="24"/>
      <c r="F2358" s="24"/>
      <c r="G2358" s="24"/>
      <c r="H2358" s="24"/>
      <c r="I2358" s="24" t="s">
        <v>38</v>
      </c>
      <c r="J2358" s="83" t="s">
        <v>2784</v>
      </c>
      <c r="K2358" s="24"/>
    </row>
    <row r="2359" ht="42.75" outlineLevel="1" spans="1:11">
      <c r="A2359" s="24"/>
      <c r="B2359" s="81" t="str">
        <f t="shared" si="55"/>
        <v>1575</v>
      </c>
      <c r="C2359" s="106" t="s">
        <v>2785</v>
      </c>
      <c r="D2359" s="24" t="s">
        <v>89</v>
      </c>
      <c r="E2359" s="24"/>
      <c r="F2359" s="24"/>
      <c r="G2359" s="24"/>
      <c r="H2359" s="24"/>
      <c r="I2359" s="24" t="s">
        <v>38</v>
      </c>
      <c r="J2359" s="83" t="s">
        <v>2477</v>
      </c>
      <c r="K2359" s="24"/>
    </row>
    <row r="2360" ht="28.5" outlineLevel="1" spans="1:11">
      <c r="A2360" s="24"/>
      <c r="B2360" s="81" t="str">
        <f t="shared" si="55"/>
        <v>1576</v>
      </c>
      <c r="C2360" s="106" t="s">
        <v>2786</v>
      </c>
      <c r="D2360" s="24" t="s">
        <v>89</v>
      </c>
      <c r="E2360" s="24"/>
      <c r="F2360" s="24"/>
      <c r="G2360" s="24"/>
      <c r="H2360" s="24"/>
      <c r="I2360" s="24" t="s">
        <v>38</v>
      </c>
      <c r="J2360" s="83" t="s">
        <v>2479</v>
      </c>
      <c r="K2360" s="24"/>
    </row>
    <row r="2361" ht="28.5" outlineLevel="1" spans="1:11">
      <c r="A2361" s="24"/>
      <c r="B2361" s="81" t="str">
        <f t="shared" si="55"/>
        <v>1577</v>
      </c>
      <c r="C2361" s="106" t="s">
        <v>2787</v>
      </c>
      <c r="D2361" s="24" t="s">
        <v>89</v>
      </c>
      <c r="E2361" s="24"/>
      <c r="F2361" s="24"/>
      <c r="G2361" s="24"/>
      <c r="H2361" s="24"/>
      <c r="I2361" s="24" t="s">
        <v>38</v>
      </c>
      <c r="J2361" s="83" t="s">
        <v>2481</v>
      </c>
      <c r="K2361" s="24"/>
    </row>
    <row r="2362" outlineLevel="1" spans="1:11">
      <c r="A2362" s="24"/>
      <c r="B2362" s="81" t="str">
        <f t="shared" si="55"/>
        <v>1578</v>
      </c>
      <c r="C2362" s="146" t="s">
        <v>2788</v>
      </c>
      <c r="D2362" s="24" t="s">
        <v>89</v>
      </c>
      <c r="E2362" s="24"/>
      <c r="F2362" s="24"/>
      <c r="G2362" s="24"/>
      <c r="H2362" s="24"/>
      <c r="I2362" s="24" t="s">
        <v>38</v>
      </c>
      <c r="J2362" s="83" t="s">
        <v>2789</v>
      </c>
      <c r="K2362" s="24"/>
    </row>
    <row r="2363" ht="42.75" outlineLevel="1" spans="1:11">
      <c r="A2363" s="24"/>
      <c r="B2363" s="81" t="str">
        <f t="shared" si="55"/>
        <v>1579</v>
      </c>
      <c r="C2363" s="106" t="s">
        <v>2790</v>
      </c>
      <c r="D2363" s="24" t="s">
        <v>89</v>
      </c>
      <c r="E2363" s="24"/>
      <c r="F2363" s="24"/>
      <c r="G2363" s="24"/>
      <c r="H2363" s="24"/>
      <c r="I2363" s="24" t="s">
        <v>38</v>
      </c>
      <c r="J2363" s="83" t="s">
        <v>2477</v>
      </c>
      <c r="K2363" s="24"/>
    </row>
    <row r="2364" ht="28.5" outlineLevel="1" spans="1:11">
      <c r="A2364" s="24"/>
      <c r="B2364" s="81" t="str">
        <f t="shared" si="55"/>
        <v>157A</v>
      </c>
      <c r="C2364" s="106" t="s">
        <v>2791</v>
      </c>
      <c r="D2364" s="24" t="s">
        <v>89</v>
      </c>
      <c r="E2364" s="24"/>
      <c r="F2364" s="24"/>
      <c r="G2364" s="24"/>
      <c r="H2364" s="24"/>
      <c r="I2364" s="24" t="s">
        <v>38</v>
      </c>
      <c r="J2364" s="83" t="s">
        <v>2479</v>
      </c>
      <c r="K2364" s="24"/>
    </row>
    <row r="2365" ht="28.5" outlineLevel="1" spans="1:11">
      <c r="A2365" s="24"/>
      <c r="B2365" s="81" t="str">
        <f t="shared" si="55"/>
        <v>157B</v>
      </c>
      <c r="C2365" s="106" t="s">
        <v>2792</v>
      </c>
      <c r="D2365" s="24" t="s">
        <v>89</v>
      </c>
      <c r="E2365" s="24"/>
      <c r="F2365" s="24"/>
      <c r="G2365" s="24"/>
      <c r="H2365" s="24"/>
      <c r="I2365" s="24" t="s">
        <v>38</v>
      </c>
      <c r="J2365" s="83" t="s">
        <v>2481</v>
      </c>
      <c r="K2365" s="24"/>
    </row>
    <row r="2366" outlineLevel="1" spans="1:11">
      <c r="A2366" s="24"/>
      <c r="B2366" s="81" t="str">
        <f t="shared" si="55"/>
        <v>157C</v>
      </c>
      <c r="C2366" s="146" t="s">
        <v>2793</v>
      </c>
      <c r="D2366" s="24" t="s">
        <v>89</v>
      </c>
      <c r="E2366" s="24"/>
      <c r="F2366" s="24"/>
      <c r="G2366" s="24"/>
      <c r="H2366" s="24"/>
      <c r="I2366" s="24" t="s">
        <v>38</v>
      </c>
      <c r="J2366" s="83" t="s">
        <v>2794</v>
      </c>
      <c r="K2366" s="24"/>
    </row>
    <row r="2367" ht="42.75" outlineLevel="1" spans="1:11">
      <c r="A2367" s="24"/>
      <c r="B2367" s="81" t="str">
        <f t="shared" si="55"/>
        <v>157D</v>
      </c>
      <c r="C2367" s="106" t="s">
        <v>2795</v>
      </c>
      <c r="D2367" s="24" t="s">
        <v>89</v>
      </c>
      <c r="E2367" s="24"/>
      <c r="F2367" s="24"/>
      <c r="G2367" s="24"/>
      <c r="H2367" s="24"/>
      <c r="I2367" s="24" t="s">
        <v>38</v>
      </c>
      <c r="J2367" s="83" t="s">
        <v>2477</v>
      </c>
      <c r="K2367" s="24"/>
    </row>
    <row r="2368" ht="28.5" outlineLevel="1" spans="1:11">
      <c r="A2368" s="24"/>
      <c r="B2368" s="81" t="str">
        <f t="shared" si="55"/>
        <v>157E</v>
      </c>
      <c r="C2368" s="106" t="s">
        <v>2796</v>
      </c>
      <c r="D2368" s="24" t="s">
        <v>89</v>
      </c>
      <c r="E2368" s="24"/>
      <c r="F2368" s="24"/>
      <c r="G2368" s="24"/>
      <c r="H2368" s="24"/>
      <c r="I2368" s="24" t="s">
        <v>38</v>
      </c>
      <c r="J2368" s="83" t="s">
        <v>2479</v>
      </c>
      <c r="K2368" s="24"/>
    </row>
    <row r="2369" ht="28.5" outlineLevel="1" spans="1:11">
      <c r="A2369" s="24"/>
      <c r="B2369" s="81" t="str">
        <f t="shared" si="55"/>
        <v>157F</v>
      </c>
      <c r="C2369" s="106" t="s">
        <v>2797</v>
      </c>
      <c r="D2369" s="24" t="s">
        <v>89</v>
      </c>
      <c r="E2369" s="24"/>
      <c r="F2369" s="24"/>
      <c r="G2369" s="24"/>
      <c r="H2369" s="24"/>
      <c r="I2369" s="24" t="s">
        <v>38</v>
      </c>
      <c r="J2369" s="83" t="s">
        <v>2481</v>
      </c>
      <c r="K2369" s="24"/>
    </row>
    <row r="2370" outlineLevel="1" spans="1:11">
      <c r="A2370" s="24"/>
      <c r="B2370" s="81" t="str">
        <f t="shared" si="55"/>
        <v>1580</v>
      </c>
      <c r="C2370" s="146" t="s">
        <v>2798</v>
      </c>
      <c r="D2370" s="24" t="s">
        <v>89</v>
      </c>
      <c r="E2370" s="24"/>
      <c r="F2370" s="24"/>
      <c r="G2370" s="24"/>
      <c r="H2370" s="24"/>
      <c r="I2370" s="24" t="s">
        <v>38</v>
      </c>
      <c r="J2370" s="83" t="s">
        <v>2799</v>
      </c>
      <c r="K2370" s="24"/>
    </row>
    <row r="2371" ht="42.75" outlineLevel="1" spans="1:11">
      <c r="A2371" s="24"/>
      <c r="B2371" s="81" t="str">
        <f t="shared" si="55"/>
        <v>1581</v>
      </c>
      <c r="C2371" s="106" t="s">
        <v>2800</v>
      </c>
      <c r="D2371" s="24" t="s">
        <v>89</v>
      </c>
      <c r="E2371" s="24"/>
      <c r="F2371" s="24"/>
      <c r="G2371" s="24"/>
      <c r="H2371" s="24"/>
      <c r="I2371" s="24" t="s">
        <v>38</v>
      </c>
      <c r="J2371" s="83" t="s">
        <v>2477</v>
      </c>
      <c r="K2371" s="24"/>
    </row>
    <row r="2372" ht="28.5" outlineLevel="1" spans="1:11">
      <c r="A2372" s="24"/>
      <c r="B2372" s="81" t="str">
        <f t="shared" si="55"/>
        <v>1582</v>
      </c>
      <c r="C2372" s="106" t="s">
        <v>2801</v>
      </c>
      <c r="D2372" s="24" t="s">
        <v>89</v>
      </c>
      <c r="E2372" s="24"/>
      <c r="F2372" s="24"/>
      <c r="G2372" s="24"/>
      <c r="H2372" s="24"/>
      <c r="I2372" s="24" t="s">
        <v>38</v>
      </c>
      <c r="J2372" s="83" t="s">
        <v>2479</v>
      </c>
      <c r="K2372" s="24"/>
    </row>
    <row r="2373" ht="28.5" outlineLevel="1" spans="1:11">
      <c r="A2373" s="24"/>
      <c r="B2373" s="81" t="str">
        <f t="shared" si="55"/>
        <v>1583</v>
      </c>
      <c r="C2373" s="106" t="s">
        <v>2802</v>
      </c>
      <c r="D2373" s="24" t="s">
        <v>89</v>
      </c>
      <c r="E2373" s="24"/>
      <c r="F2373" s="24"/>
      <c r="G2373" s="24"/>
      <c r="H2373" s="24"/>
      <c r="I2373" s="24" t="s">
        <v>38</v>
      </c>
      <c r="J2373" s="83" t="s">
        <v>2481</v>
      </c>
      <c r="K2373" s="24"/>
    </row>
    <row r="2374" outlineLevel="1" spans="1:11">
      <c r="A2374" s="24"/>
      <c r="B2374" s="81" t="str">
        <f t="shared" si="55"/>
        <v>1584</v>
      </c>
      <c r="C2374" s="146" t="s">
        <v>2803</v>
      </c>
      <c r="D2374" s="24" t="s">
        <v>89</v>
      </c>
      <c r="E2374" s="24"/>
      <c r="F2374" s="24"/>
      <c r="G2374" s="24"/>
      <c r="H2374" s="24"/>
      <c r="I2374" s="24" t="s">
        <v>38</v>
      </c>
      <c r="J2374" s="83" t="s">
        <v>2804</v>
      </c>
      <c r="K2374" s="24"/>
    </row>
    <row r="2375" ht="42.75" outlineLevel="1" spans="1:11">
      <c r="A2375" s="24"/>
      <c r="B2375" s="81" t="str">
        <f t="shared" si="55"/>
        <v>1585</v>
      </c>
      <c r="C2375" s="106" t="s">
        <v>2805</v>
      </c>
      <c r="D2375" s="24" t="s">
        <v>89</v>
      </c>
      <c r="E2375" s="24"/>
      <c r="F2375" s="24"/>
      <c r="G2375" s="24"/>
      <c r="H2375" s="24"/>
      <c r="I2375" s="24" t="s">
        <v>38</v>
      </c>
      <c r="J2375" s="83" t="s">
        <v>2477</v>
      </c>
      <c r="K2375" s="24"/>
    </row>
    <row r="2376" ht="28.5" outlineLevel="1" spans="1:11">
      <c r="A2376" s="24"/>
      <c r="B2376" s="81" t="str">
        <f t="shared" si="55"/>
        <v>1586</v>
      </c>
      <c r="C2376" s="106" t="s">
        <v>2806</v>
      </c>
      <c r="D2376" s="24" t="s">
        <v>89</v>
      </c>
      <c r="E2376" s="24"/>
      <c r="F2376" s="24"/>
      <c r="G2376" s="24"/>
      <c r="H2376" s="24"/>
      <c r="I2376" s="24" t="s">
        <v>38</v>
      </c>
      <c r="J2376" s="83" t="s">
        <v>2479</v>
      </c>
      <c r="K2376" s="24"/>
    </row>
    <row r="2377" ht="28.5" outlineLevel="1" spans="1:11">
      <c r="A2377" s="24"/>
      <c r="B2377" s="81" t="str">
        <f t="shared" si="55"/>
        <v>1587</v>
      </c>
      <c r="C2377" s="106" t="s">
        <v>2807</v>
      </c>
      <c r="D2377" s="24" t="s">
        <v>89</v>
      </c>
      <c r="E2377" s="24"/>
      <c r="F2377" s="24"/>
      <c r="G2377" s="24"/>
      <c r="H2377" s="24"/>
      <c r="I2377" s="24" t="s">
        <v>38</v>
      </c>
      <c r="J2377" s="83" t="s">
        <v>2481</v>
      </c>
      <c r="K2377" s="24"/>
    </row>
    <row r="2378" outlineLevel="1" spans="1:11">
      <c r="A2378" s="24"/>
      <c r="B2378" s="81" t="str">
        <f t="shared" si="55"/>
        <v>1588</v>
      </c>
      <c r="C2378" s="146" t="s">
        <v>2808</v>
      </c>
      <c r="D2378" s="24" t="s">
        <v>89</v>
      </c>
      <c r="E2378" s="24"/>
      <c r="F2378" s="24"/>
      <c r="G2378" s="24"/>
      <c r="H2378" s="24"/>
      <c r="I2378" s="24" t="s">
        <v>38</v>
      </c>
      <c r="J2378" s="83" t="s">
        <v>2809</v>
      </c>
      <c r="K2378" s="24"/>
    </row>
    <row r="2379" ht="42.75" outlineLevel="1" spans="1:11">
      <c r="A2379" s="24"/>
      <c r="B2379" s="81" t="str">
        <f t="shared" si="55"/>
        <v>1589</v>
      </c>
      <c r="C2379" s="106" t="s">
        <v>2810</v>
      </c>
      <c r="D2379" s="24" t="s">
        <v>89</v>
      </c>
      <c r="E2379" s="24"/>
      <c r="F2379" s="24"/>
      <c r="G2379" s="24"/>
      <c r="H2379" s="24"/>
      <c r="I2379" s="24" t="s">
        <v>38</v>
      </c>
      <c r="J2379" s="83" t="s">
        <v>2477</v>
      </c>
      <c r="K2379" s="24"/>
    </row>
    <row r="2380" ht="28.5" outlineLevel="1" spans="1:11">
      <c r="A2380" s="24"/>
      <c r="B2380" s="81" t="str">
        <f t="shared" si="55"/>
        <v>158A</v>
      </c>
      <c r="C2380" s="106" t="s">
        <v>2811</v>
      </c>
      <c r="D2380" s="24" t="s">
        <v>89</v>
      </c>
      <c r="E2380" s="24"/>
      <c r="F2380" s="24"/>
      <c r="G2380" s="24"/>
      <c r="H2380" s="24"/>
      <c r="I2380" s="24" t="s">
        <v>38</v>
      </c>
      <c r="J2380" s="83" t="s">
        <v>2479</v>
      </c>
      <c r="K2380" s="24"/>
    </row>
    <row r="2381" ht="28.5" outlineLevel="1" spans="1:11">
      <c r="A2381" s="24"/>
      <c r="B2381" s="81" t="str">
        <f t="shared" si="55"/>
        <v>158B</v>
      </c>
      <c r="C2381" s="106" t="s">
        <v>2812</v>
      </c>
      <c r="D2381" s="24" t="s">
        <v>89</v>
      </c>
      <c r="E2381" s="24"/>
      <c r="F2381" s="24"/>
      <c r="G2381" s="24"/>
      <c r="H2381" s="24"/>
      <c r="I2381" s="24" t="s">
        <v>38</v>
      </c>
      <c r="J2381" s="83" t="s">
        <v>2481</v>
      </c>
      <c r="K2381" s="24"/>
    </row>
    <row r="2382" outlineLevel="1" spans="1:11">
      <c r="A2382" s="24"/>
      <c r="B2382" s="81" t="str">
        <f t="shared" si="55"/>
        <v>158C</v>
      </c>
      <c r="C2382" s="146" t="s">
        <v>2813</v>
      </c>
      <c r="D2382" s="24" t="s">
        <v>89</v>
      </c>
      <c r="E2382" s="24"/>
      <c r="F2382" s="24"/>
      <c r="G2382" s="24"/>
      <c r="H2382" s="24"/>
      <c r="I2382" s="24" t="s">
        <v>38</v>
      </c>
      <c r="J2382" s="83" t="s">
        <v>2814</v>
      </c>
      <c r="K2382" s="24"/>
    </row>
    <row r="2383" ht="42.75" outlineLevel="1" spans="1:11">
      <c r="A2383" s="24"/>
      <c r="B2383" s="81" t="str">
        <f t="shared" si="55"/>
        <v>158D</v>
      </c>
      <c r="C2383" s="106" t="s">
        <v>2815</v>
      </c>
      <c r="D2383" s="24" t="s">
        <v>89</v>
      </c>
      <c r="E2383" s="24"/>
      <c r="F2383" s="24"/>
      <c r="G2383" s="24"/>
      <c r="H2383" s="24"/>
      <c r="I2383" s="24" t="s">
        <v>38</v>
      </c>
      <c r="J2383" s="83" t="s">
        <v>2477</v>
      </c>
      <c r="K2383" s="24"/>
    </row>
    <row r="2384" ht="28.5" outlineLevel="1" spans="1:11">
      <c r="A2384" s="24"/>
      <c r="B2384" s="81" t="str">
        <f t="shared" si="55"/>
        <v>158E</v>
      </c>
      <c r="C2384" s="106" t="s">
        <v>2816</v>
      </c>
      <c r="D2384" s="24" t="s">
        <v>89</v>
      </c>
      <c r="E2384" s="24"/>
      <c r="F2384" s="24"/>
      <c r="G2384" s="24"/>
      <c r="H2384" s="24"/>
      <c r="I2384" s="24" t="s">
        <v>38</v>
      </c>
      <c r="J2384" s="83" t="s">
        <v>2479</v>
      </c>
      <c r="K2384" s="24"/>
    </row>
    <row r="2385" ht="28.5" outlineLevel="1" spans="1:11">
      <c r="A2385" s="24"/>
      <c r="B2385" s="81" t="str">
        <f t="shared" si="55"/>
        <v>158F</v>
      </c>
      <c r="C2385" s="106" t="s">
        <v>2817</v>
      </c>
      <c r="D2385" s="24" t="s">
        <v>89</v>
      </c>
      <c r="E2385" s="24"/>
      <c r="F2385" s="24"/>
      <c r="G2385" s="24"/>
      <c r="H2385" s="24"/>
      <c r="I2385" s="24" t="s">
        <v>38</v>
      </c>
      <c r="J2385" s="83" t="s">
        <v>2481</v>
      </c>
      <c r="K2385" s="24"/>
    </row>
    <row r="2386" outlineLevel="1" spans="1:11">
      <c r="A2386" s="24"/>
      <c r="B2386" s="81" t="str">
        <f t="shared" si="55"/>
        <v>1590</v>
      </c>
      <c r="C2386" s="146" t="s">
        <v>2818</v>
      </c>
      <c r="D2386" s="24" t="s">
        <v>89</v>
      </c>
      <c r="E2386" s="24"/>
      <c r="F2386" s="24"/>
      <c r="G2386" s="24"/>
      <c r="H2386" s="24"/>
      <c r="I2386" s="24" t="s">
        <v>38</v>
      </c>
      <c r="J2386" s="83" t="s">
        <v>2819</v>
      </c>
      <c r="K2386" s="24"/>
    </row>
    <row r="2387" ht="42.75" outlineLevel="1" spans="1:11">
      <c r="A2387" s="24"/>
      <c r="B2387" s="81" t="str">
        <f t="shared" si="55"/>
        <v>1591</v>
      </c>
      <c r="C2387" s="106" t="s">
        <v>2820</v>
      </c>
      <c r="D2387" s="24" t="s">
        <v>89</v>
      </c>
      <c r="E2387" s="24"/>
      <c r="F2387" s="24"/>
      <c r="G2387" s="24"/>
      <c r="H2387" s="24"/>
      <c r="I2387" s="24" t="s">
        <v>38</v>
      </c>
      <c r="J2387" s="83" t="s">
        <v>2477</v>
      </c>
      <c r="K2387" s="24"/>
    </row>
    <row r="2388" ht="28.5" outlineLevel="1" spans="1:11">
      <c r="A2388" s="24"/>
      <c r="B2388" s="81" t="str">
        <f t="shared" si="55"/>
        <v>1592</v>
      </c>
      <c r="C2388" s="106" t="s">
        <v>2821</v>
      </c>
      <c r="D2388" s="24" t="s">
        <v>89</v>
      </c>
      <c r="E2388" s="24"/>
      <c r="F2388" s="24"/>
      <c r="G2388" s="24"/>
      <c r="H2388" s="24"/>
      <c r="I2388" s="24" t="s">
        <v>38</v>
      </c>
      <c r="J2388" s="83" t="s">
        <v>2479</v>
      </c>
      <c r="K2388" s="24"/>
    </row>
    <row r="2389" ht="28.5" outlineLevel="1" spans="1:11">
      <c r="A2389" s="24"/>
      <c r="B2389" s="81" t="str">
        <f t="shared" si="55"/>
        <v>1593</v>
      </c>
      <c r="C2389" s="106" t="s">
        <v>2822</v>
      </c>
      <c r="D2389" s="24" t="s">
        <v>89</v>
      </c>
      <c r="E2389" s="24"/>
      <c r="F2389" s="24"/>
      <c r="G2389" s="24"/>
      <c r="H2389" s="24"/>
      <c r="I2389" s="24" t="s">
        <v>38</v>
      </c>
      <c r="J2389" s="83" t="s">
        <v>2481</v>
      </c>
      <c r="K2389" s="24"/>
    </row>
    <row r="2390" outlineLevel="1" spans="1:11">
      <c r="A2390" s="24"/>
      <c r="B2390" s="81" t="str">
        <f t="shared" si="55"/>
        <v>1594</v>
      </c>
      <c r="C2390" s="146" t="s">
        <v>2823</v>
      </c>
      <c r="D2390" s="24" t="s">
        <v>89</v>
      </c>
      <c r="E2390" s="24"/>
      <c r="F2390" s="24"/>
      <c r="G2390" s="24"/>
      <c r="H2390" s="24"/>
      <c r="I2390" s="24" t="s">
        <v>38</v>
      </c>
      <c r="J2390" s="83" t="s">
        <v>2824</v>
      </c>
      <c r="K2390" s="24"/>
    </row>
    <row r="2391" ht="42.75" outlineLevel="1" spans="1:11">
      <c r="A2391" s="24"/>
      <c r="B2391" s="81" t="str">
        <f t="shared" si="55"/>
        <v>1595</v>
      </c>
      <c r="C2391" s="106" t="s">
        <v>2825</v>
      </c>
      <c r="D2391" s="24" t="s">
        <v>89</v>
      </c>
      <c r="E2391" s="24"/>
      <c r="F2391" s="24"/>
      <c r="G2391" s="24"/>
      <c r="H2391" s="24"/>
      <c r="I2391" s="24" t="s">
        <v>38</v>
      </c>
      <c r="J2391" s="83" t="s">
        <v>2477</v>
      </c>
      <c r="K2391" s="24"/>
    </row>
    <row r="2392" ht="28.5" outlineLevel="1" spans="1:11">
      <c r="A2392" s="24"/>
      <c r="B2392" s="81" t="str">
        <f t="shared" si="55"/>
        <v>1596</v>
      </c>
      <c r="C2392" s="106" t="s">
        <v>2826</v>
      </c>
      <c r="D2392" s="24" t="s">
        <v>89</v>
      </c>
      <c r="E2392" s="24"/>
      <c r="F2392" s="24"/>
      <c r="G2392" s="24"/>
      <c r="H2392" s="24"/>
      <c r="I2392" s="24" t="s">
        <v>38</v>
      </c>
      <c r="J2392" s="83" t="s">
        <v>2479</v>
      </c>
      <c r="K2392" s="24"/>
    </row>
    <row r="2393" ht="28.5" outlineLevel="1" spans="1:11">
      <c r="A2393" s="24"/>
      <c r="B2393" s="81" t="str">
        <f t="shared" si="55"/>
        <v>1597</v>
      </c>
      <c r="C2393" s="106" t="s">
        <v>2827</v>
      </c>
      <c r="D2393" s="24" t="s">
        <v>89</v>
      </c>
      <c r="E2393" s="24"/>
      <c r="F2393" s="24"/>
      <c r="G2393" s="24"/>
      <c r="H2393" s="24"/>
      <c r="I2393" s="24" t="s">
        <v>38</v>
      </c>
      <c r="J2393" s="83" t="s">
        <v>2481</v>
      </c>
      <c r="K2393" s="24"/>
    </row>
    <row r="2394" outlineLevel="1" spans="1:11">
      <c r="A2394" s="24"/>
      <c r="B2394" s="81" t="str">
        <f t="shared" si="55"/>
        <v>1598</v>
      </c>
      <c r="C2394" s="146" t="s">
        <v>2828</v>
      </c>
      <c r="D2394" s="24" t="s">
        <v>89</v>
      </c>
      <c r="E2394" s="24"/>
      <c r="F2394" s="24"/>
      <c r="G2394" s="24"/>
      <c r="H2394" s="24"/>
      <c r="I2394" s="24" t="s">
        <v>38</v>
      </c>
      <c r="J2394" s="83" t="s">
        <v>2829</v>
      </c>
      <c r="K2394" s="24"/>
    </row>
    <row r="2395" ht="42.75" outlineLevel="1" spans="1:11">
      <c r="A2395" s="24"/>
      <c r="B2395" s="81" t="str">
        <f t="shared" si="55"/>
        <v>1599</v>
      </c>
      <c r="C2395" s="106" t="s">
        <v>2830</v>
      </c>
      <c r="D2395" s="24" t="s">
        <v>89</v>
      </c>
      <c r="E2395" s="24"/>
      <c r="F2395" s="24"/>
      <c r="G2395" s="24"/>
      <c r="H2395" s="24"/>
      <c r="I2395" s="24" t="s">
        <v>38</v>
      </c>
      <c r="J2395" s="83" t="s">
        <v>2477</v>
      </c>
      <c r="K2395" s="24"/>
    </row>
    <row r="2396" ht="28.5" outlineLevel="1" spans="1:11">
      <c r="A2396" s="24"/>
      <c r="B2396" s="81" t="str">
        <f t="shared" si="55"/>
        <v>159A</v>
      </c>
      <c r="C2396" s="106" t="s">
        <v>2831</v>
      </c>
      <c r="D2396" s="24" t="s">
        <v>89</v>
      </c>
      <c r="E2396" s="24"/>
      <c r="F2396" s="24"/>
      <c r="G2396" s="24"/>
      <c r="H2396" s="24"/>
      <c r="I2396" s="24" t="s">
        <v>38</v>
      </c>
      <c r="J2396" s="83" t="s">
        <v>2479</v>
      </c>
      <c r="K2396" s="24"/>
    </row>
    <row r="2397" ht="28.5" outlineLevel="1" spans="1:11">
      <c r="A2397" s="24"/>
      <c r="B2397" s="81" t="str">
        <f t="shared" si="55"/>
        <v>159B</v>
      </c>
      <c r="C2397" s="106" t="s">
        <v>2832</v>
      </c>
      <c r="D2397" s="24" t="s">
        <v>89</v>
      </c>
      <c r="E2397" s="24"/>
      <c r="F2397" s="24"/>
      <c r="G2397" s="24"/>
      <c r="H2397" s="24"/>
      <c r="I2397" s="24" t="s">
        <v>38</v>
      </c>
      <c r="J2397" s="83" t="s">
        <v>2481</v>
      </c>
      <c r="K2397" s="24"/>
    </row>
    <row r="2398" outlineLevel="1" spans="1:11">
      <c r="A2398" s="24"/>
      <c r="B2398" s="81" t="str">
        <f t="shared" si="55"/>
        <v>159C</v>
      </c>
      <c r="C2398" s="146" t="s">
        <v>2833</v>
      </c>
      <c r="D2398" s="24" t="s">
        <v>89</v>
      </c>
      <c r="E2398" s="24"/>
      <c r="F2398" s="24"/>
      <c r="G2398" s="24"/>
      <c r="H2398" s="24"/>
      <c r="I2398" s="24" t="s">
        <v>38</v>
      </c>
      <c r="J2398" s="83" t="s">
        <v>2834</v>
      </c>
      <c r="K2398" s="24"/>
    </row>
    <row r="2399" ht="42.75" outlineLevel="1" spans="1:11">
      <c r="A2399" s="24"/>
      <c r="B2399" s="81" t="str">
        <f t="shared" si="55"/>
        <v>159D</v>
      </c>
      <c r="C2399" s="106" t="s">
        <v>2835</v>
      </c>
      <c r="D2399" s="24" t="s">
        <v>89</v>
      </c>
      <c r="E2399" s="24"/>
      <c r="F2399" s="24"/>
      <c r="G2399" s="24"/>
      <c r="H2399" s="24"/>
      <c r="I2399" s="24" t="s">
        <v>38</v>
      </c>
      <c r="J2399" s="83" t="s">
        <v>2477</v>
      </c>
      <c r="K2399" s="24"/>
    </row>
    <row r="2400" ht="28.5" outlineLevel="1" spans="1:11">
      <c r="A2400" s="24"/>
      <c r="B2400" s="81" t="str">
        <f t="shared" si="55"/>
        <v>159E</v>
      </c>
      <c r="C2400" s="106" t="s">
        <v>2836</v>
      </c>
      <c r="D2400" s="24" t="s">
        <v>89</v>
      </c>
      <c r="E2400" s="24"/>
      <c r="F2400" s="24"/>
      <c r="G2400" s="24"/>
      <c r="H2400" s="24"/>
      <c r="I2400" s="24" t="s">
        <v>38</v>
      </c>
      <c r="J2400" s="83" t="s">
        <v>2479</v>
      </c>
      <c r="K2400" s="24"/>
    </row>
    <row r="2401" ht="28.5" outlineLevel="1" spans="1:11">
      <c r="A2401" s="24"/>
      <c r="B2401" s="81" t="str">
        <f t="shared" si="55"/>
        <v>159F</v>
      </c>
      <c r="C2401" s="106" t="s">
        <v>2837</v>
      </c>
      <c r="D2401" s="24" t="s">
        <v>89</v>
      </c>
      <c r="E2401" s="24"/>
      <c r="F2401" s="24"/>
      <c r="G2401" s="24"/>
      <c r="H2401" s="24"/>
      <c r="I2401" s="24" t="s">
        <v>38</v>
      </c>
      <c r="J2401" s="83" t="s">
        <v>2481</v>
      </c>
      <c r="K2401" s="24"/>
    </row>
    <row r="2402" outlineLevel="1" spans="1:11">
      <c r="A2402" s="24"/>
      <c r="B2402" s="81" t="str">
        <f t="shared" si="55"/>
        <v>15A0</v>
      </c>
      <c r="C2402" s="146" t="s">
        <v>2838</v>
      </c>
      <c r="D2402" s="24" t="s">
        <v>89</v>
      </c>
      <c r="E2402" s="24"/>
      <c r="F2402" s="24"/>
      <c r="G2402" s="24"/>
      <c r="H2402" s="24"/>
      <c r="I2402" s="24" t="s">
        <v>38</v>
      </c>
      <c r="J2402" s="83" t="s">
        <v>2839</v>
      </c>
      <c r="K2402" s="24"/>
    </row>
    <row r="2403" ht="42.75" outlineLevel="1" spans="1:11">
      <c r="A2403" s="24"/>
      <c r="B2403" s="81" t="str">
        <f t="shared" si="55"/>
        <v>15A1</v>
      </c>
      <c r="C2403" s="106" t="s">
        <v>2840</v>
      </c>
      <c r="D2403" s="24" t="s">
        <v>89</v>
      </c>
      <c r="E2403" s="24"/>
      <c r="F2403" s="24"/>
      <c r="G2403" s="24"/>
      <c r="H2403" s="24"/>
      <c r="I2403" s="24" t="s">
        <v>38</v>
      </c>
      <c r="J2403" s="83" t="s">
        <v>2477</v>
      </c>
      <c r="K2403" s="24"/>
    </row>
    <row r="2404" ht="28.5" outlineLevel="1" spans="1:11">
      <c r="A2404" s="24"/>
      <c r="B2404" s="81" t="str">
        <f t="shared" si="55"/>
        <v>15A2</v>
      </c>
      <c r="C2404" s="106" t="s">
        <v>2841</v>
      </c>
      <c r="D2404" s="24" t="s">
        <v>89</v>
      </c>
      <c r="E2404" s="24"/>
      <c r="F2404" s="24"/>
      <c r="G2404" s="24"/>
      <c r="H2404" s="24"/>
      <c r="I2404" s="24" t="s">
        <v>38</v>
      </c>
      <c r="J2404" s="83" t="s">
        <v>2479</v>
      </c>
      <c r="K2404" s="24"/>
    </row>
    <row r="2405" ht="28.5" outlineLevel="1" spans="1:11">
      <c r="A2405" s="24"/>
      <c r="B2405" s="81" t="str">
        <f t="shared" ref="B2405:B2468" si="56">DEC2HEX(4928+ROW()-ROW($B$1794),4)</f>
        <v>15A3</v>
      </c>
      <c r="C2405" s="106" t="s">
        <v>2842</v>
      </c>
      <c r="D2405" s="24" t="s">
        <v>89</v>
      </c>
      <c r="E2405" s="24"/>
      <c r="F2405" s="24"/>
      <c r="G2405" s="24"/>
      <c r="H2405" s="24"/>
      <c r="I2405" s="24" t="s">
        <v>38</v>
      </c>
      <c r="J2405" s="83" t="s">
        <v>2481</v>
      </c>
      <c r="K2405" s="24"/>
    </row>
    <row r="2406" outlineLevel="1" spans="1:11">
      <c r="A2406" s="24"/>
      <c r="B2406" s="81" t="str">
        <f t="shared" si="56"/>
        <v>15A4</v>
      </c>
      <c r="C2406" s="146" t="s">
        <v>2843</v>
      </c>
      <c r="D2406" s="24" t="s">
        <v>89</v>
      </c>
      <c r="E2406" s="24"/>
      <c r="F2406" s="24"/>
      <c r="G2406" s="24"/>
      <c r="H2406" s="24"/>
      <c r="I2406" s="24" t="s">
        <v>38</v>
      </c>
      <c r="J2406" s="83" t="s">
        <v>2844</v>
      </c>
      <c r="K2406" s="24"/>
    </row>
    <row r="2407" ht="42.75" outlineLevel="1" spans="1:11">
      <c r="A2407" s="24"/>
      <c r="B2407" s="81" t="str">
        <f t="shared" si="56"/>
        <v>15A5</v>
      </c>
      <c r="C2407" s="106" t="s">
        <v>2845</v>
      </c>
      <c r="D2407" s="24" t="s">
        <v>89</v>
      </c>
      <c r="E2407" s="24"/>
      <c r="F2407" s="24"/>
      <c r="G2407" s="24"/>
      <c r="H2407" s="24"/>
      <c r="I2407" s="24" t="s">
        <v>38</v>
      </c>
      <c r="J2407" s="83" t="s">
        <v>2477</v>
      </c>
      <c r="K2407" s="24"/>
    </row>
    <row r="2408" ht="28.5" outlineLevel="1" spans="1:11">
      <c r="A2408" s="24"/>
      <c r="B2408" s="81" t="str">
        <f t="shared" si="56"/>
        <v>15A6</v>
      </c>
      <c r="C2408" s="106" t="s">
        <v>2846</v>
      </c>
      <c r="D2408" s="24" t="s">
        <v>89</v>
      </c>
      <c r="E2408" s="24"/>
      <c r="F2408" s="24"/>
      <c r="G2408" s="24"/>
      <c r="H2408" s="24"/>
      <c r="I2408" s="24" t="s">
        <v>38</v>
      </c>
      <c r="J2408" s="83" t="s">
        <v>2479</v>
      </c>
      <c r="K2408" s="24"/>
    </row>
    <row r="2409" ht="28.5" outlineLevel="1" spans="1:11">
      <c r="A2409" s="24"/>
      <c r="B2409" s="81" t="str">
        <f t="shared" si="56"/>
        <v>15A7</v>
      </c>
      <c r="C2409" s="106" t="s">
        <v>2847</v>
      </c>
      <c r="D2409" s="24" t="s">
        <v>89</v>
      </c>
      <c r="E2409" s="24"/>
      <c r="F2409" s="24"/>
      <c r="G2409" s="24"/>
      <c r="H2409" s="24"/>
      <c r="I2409" s="24" t="s">
        <v>38</v>
      </c>
      <c r="J2409" s="83" t="s">
        <v>2481</v>
      </c>
      <c r="K2409" s="24"/>
    </row>
    <row r="2410" outlineLevel="1" spans="1:11">
      <c r="A2410" s="24"/>
      <c r="B2410" s="81" t="str">
        <f t="shared" si="56"/>
        <v>15A8</v>
      </c>
      <c r="C2410" s="146" t="s">
        <v>2848</v>
      </c>
      <c r="D2410" s="24" t="s">
        <v>89</v>
      </c>
      <c r="E2410" s="24"/>
      <c r="F2410" s="24"/>
      <c r="G2410" s="24"/>
      <c r="H2410" s="24"/>
      <c r="I2410" s="24" t="s">
        <v>38</v>
      </c>
      <c r="J2410" s="83" t="s">
        <v>2849</v>
      </c>
      <c r="K2410" s="24"/>
    </row>
    <row r="2411" ht="42.75" outlineLevel="1" spans="1:11">
      <c r="A2411" s="24"/>
      <c r="B2411" s="81" t="str">
        <f t="shared" si="56"/>
        <v>15A9</v>
      </c>
      <c r="C2411" s="106" t="s">
        <v>2850</v>
      </c>
      <c r="D2411" s="24" t="s">
        <v>89</v>
      </c>
      <c r="E2411" s="24"/>
      <c r="F2411" s="24"/>
      <c r="G2411" s="24"/>
      <c r="H2411" s="24"/>
      <c r="I2411" s="24" t="s">
        <v>38</v>
      </c>
      <c r="J2411" s="83" t="s">
        <v>2477</v>
      </c>
      <c r="K2411" s="24"/>
    </row>
    <row r="2412" ht="28.5" outlineLevel="1" spans="1:11">
      <c r="A2412" s="24"/>
      <c r="B2412" s="81" t="str">
        <f t="shared" si="56"/>
        <v>15AA</v>
      </c>
      <c r="C2412" s="106" t="s">
        <v>2851</v>
      </c>
      <c r="D2412" s="24" t="s">
        <v>89</v>
      </c>
      <c r="E2412" s="24"/>
      <c r="F2412" s="24"/>
      <c r="G2412" s="24"/>
      <c r="H2412" s="24"/>
      <c r="I2412" s="24" t="s">
        <v>38</v>
      </c>
      <c r="J2412" s="83" t="s">
        <v>2479</v>
      </c>
      <c r="K2412" s="24"/>
    </row>
    <row r="2413" ht="28.5" outlineLevel="1" spans="1:11">
      <c r="A2413" s="24"/>
      <c r="B2413" s="81" t="str">
        <f t="shared" si="56"/>
        <v>15AB</v>
      </c>
      <c r="C2413" s="106" t="s">
        <v>2852</v>
      </c>
      <c r="D2413" s="24" t="s">
        <v>89</v>
      </c>
      <c r="E2413" s="24"/>
      <c r="F2413" s="24"/>
      <c r="G2413" s="24"/>
      <c r="H2413" s="24"/>
      <c r="I2413" s="24" t="s">
        <v>38</v>
      </c>
      <c r="J2413" s="83" t="s">
        <v>2481</v>
      </c>
      <c r="K2413" s="24"/>
    </row>
    <row r="2414" outlineLevel="1" spans="1:11">
      <c r="A2414" s="24"/>
      <c r="B2414" s="81" t="str">
        <f t="shared" si="56"/>
        <v>15AC</v>
      </c>
      <c r="C2414" s="146" t="s">
        <v>2853</v>
      </c>
      <c r="D2414" s="24" t="s">
        <v>89</v>
      </c>
      <c r="E2414" s="24"/>
      <c r="F2414" s="24"/>
      <c r="G2414" s="24"/>
      <c r="H2414" s="24"/>
      <c r="I2414" s="24" t="s">
        <v>38</v>
      </c>
      <c r="J2414" s="83" t="s">
        <v>2854</v>
      </c>
      <c r="K2414" s="24"/>
    </row>
    <row r="2415" ht="42.75" outlineLevel="1" spans="1:11">
      <c r="A2415" s="24"/>
      <c r="B2415" s="81" t="str">
        <f t="shared" si="56"/>
        <v>15AD</v>
      </c>
      <c r="C2415" s="106" t="s">
        <v>2855</v>
      </c>
      <c r="D2415" s="24" t="s">
        <v>89</v>
      </c>
      <c r="E2415" s="24"/>
      <c r="F2415" s="24"/>
      <c r="G2415" s="24"/>
      <c r="H2415" s="24"/>
      <c r="I2415" s="24" t="s">
        <v>38</v>
      </c>
      <c r="J2415" s="83" t="s">
        <v>2477</v>
      </c>
      <c r="K2415" s="24"/>
    </row>
    <row r="2416" ht="28.5" outlineLevel="1" spans="1:11">
      <c r="A2416" s="24"/>
      <c r="B2416" s="81" t="str">
        <f t="shared" si="56"/>
        <v>15AE</v>
      </c>
      <c r="C2416" s="106" t="s">
        <v>2856</v>
      </c>
      <c r="D2416" s="24" t="s">
        <v>89</v>
      </c>
      <c r="E2416" s="24"/>
      <c r="F2416" s="24"/>
      <c r="G2416" s="24"/>
      <c r="H2416" s="24"/>
      <c r="I2416" s="24" t="s">
        <v>38</v>
      </c>
      <c r="J2416" s="83" t="s">
        <v>2479</v>
      </c>
      <c r="K2416" s="24"/>
    </row>
    <row r="2417" ht="28.5" outlineLevel="1" spans="1:11">
      <c r="A2417" s="24"/>
      <c r="B2417" s="81" t="str">
        <f t="shared" si="56"/>
        <v>15AF</v>
      </c>
      <c r="C2417" s="106" t="s">
        <v>2857</v>
      </c>
      <c r="D2417" s="24" t="s">
        <v>89</v>
      </c>
      <c r="E2417" s="24"/>
      <c r="F2417" s="24"/>
      <c r="G2417" s="24"/>
      <c r="H2417" s="24"/>
      <c r="I2417" s="24" t="s">
        <v>38</v>
      </c>
      <c r="J2417" s="83" t="s">
        <v>2481</v>
      </c>
      <c r="K2417" s="24"/>
    </row>
    <row r="2418" outlineLevel="1" spans="1:11">
      <c r="A2418" s="24"/>
      <c r="B2418" s="81" t="str">
        <f t="shared" si="56"/>
        <v>15B0</v>
      </c>
      <c r="C2418" s="146" t="s">
        <v>2858</v>
      </c>
      <c r="D2418" s="24" t="s">
        <v>89</v>
      </c>
      <c r="E2418" s="24"/>
      <c r="F2418" s="24"/>
      <c r="G2418" s="24"/>
      <c r="H2418" s="24"/>
      <c r="I2418" s="24" t="s">
        <v>38</v>
      </c>
      <c r="J2418" s="83" t="s">
        <v>2859</v>
      </c>
      <c r="K2418" s="24"/>
    </row>
    <row r="2419" ht="42.75" outlineLevel="1" spans="1:11">
      <c r="A2419" s="24"/>
      <c r="B2419" s="81" t="str">
        <f t="shared" si="56"/>
        <v>15B1</v>
      </c>
      <c r="C2419" s="106" t="s">
        <v>2860</v>
      </c>
      <c r="D2419" s="24" t="s">
        <v>89</v>
      </c>
      <c r="E2419" s="24"/>
      <c r="F2419" s="24"/>
      <c r="G2419" s="24"/>
      <c r="H2419" s="24"/>
      <c r="I2419" s="24" t="s">
        <v>38</v>
      </c>
      <c r="J2419" s="83" t="s">
        <v>2477</v>
      </c>
      <c r="K2419" s="24"/>
    </row>
    <row r="2420" ht="28.5" outlineLevel="1" spans="1:11">
      <c r="A2420" s="24"/>
      <c r="B2420" s="81" t="str">
        <f t="shared" si="56"/>
        <v>15B2</v>
      </c>
      <c r="C2420" s="106" t="s">
        <v>2861</v>
      </c>
      <c r="D2420" s="24" t="s">
        <v>89</v>
      </c>
      <c r="E2420" s="24"/>
      <c r="F2420" s="24"/>
      <c r="G2420" s="24"/>
      <c r="H2420" s="24"/>
      <c r="I2420" s="24" t="s">
        <v>38</v>
      </c>
      <c r="J2420" s="83" t="s">
        <v>2479</v>
      </c>
      <c r="K2420" s="24"/>
    </row>
    <row r="2421" ht="28.5" outlineLevel="1" spans="1:11">
      <c r="A2421" s="24"/>
      <c r="B2421" s="81" t="str">
        <f t="shared" si="56"/>
        <v>15B3</v>
      </c>
      <c r="C2421" s="106" t="s">
        <v>2862</v>
      </c>
      <c r="D2421" s="24" t="s">
        <v>89</v>
      </c>
      <c r="E2421" s="24"/>
      <c r="F2421" s="24"/>
      <c r="G2421" s="24"/>
      <c r="H2421" s="24"/>
      <c r="I2421" s="24" t="s">
        <v>38</v>
      </c>
      <c r="J2421" s="83" t="s">
        <v>2481</v>
      </c>
      <c r="K2421" s="24"/>
    </row>
    <row r="2422" outlineLevel="1" spans="1:11">
      <c r="A2422" s="24"/>
      <c r="B2422" s="81" t="str">
        <f t="shared" si="56"/>
        <v>15B4</v>
      </c>
      <c r="C2422" s="146" t="s">
        <v>2863</v>
      </c>
      <c r="D2422" s="24" t="s">
        <v>89</v>
      </c>
      <c r="E2422" s="24"/>
      <c r="F2422" s="24"/>
      <c r="G2422" s="24"/>
      <c r="H2422" s="24"/>
      <c r="I2422" s="24" t="s">
        <v>38</v>
      </c>
      <c r="J2422" s="83" t="s">
        <v>2864</v>
      </c>
      <c r="K2422" s="24"/>
    </row>
    <row r="2423" ht="42.75" outlineLevel="1" spans="1:11">
      <c r="A2423" s="24"/>
      <c r="B2423" s="81" t="str">
        <f t="shared" si="56"/>
        <v>15B5</v>
      </c>
      <c r="C2423" s="106" t="s">
        <v>2865</v>
      </c>
      <c r="D2423" s="24" t="s">
        <v>89</v>
      </c>
      <c r="E2423" s="24"/>
      <c r="F2423" s="24"/>
      <c r="G2423" s="24"/>
      <c r="H2423" s="24"/>
      <c r="I2423" s="24" t="s">
        <v>38</v>
      </c>
      <c r="J2423" s="83" t="s">
        <v>2477</v>
      </c>
      <c r="K2423" s="24"/>
    </row>
    <row r="2424" ht="28.5" outlineLevel="1" spans="1:11">
      <c r="A2424" s="24"/>
      <c r="B2424" s="81" t="str">
        <f t="shared" si="56"/>
        <v>15B6</v>
      </c>
      <c r="C2424" s="106" t="s">
        <v>2866</v>
      </c>
      <c r="D2424" s="24" t="s">
        <v>89</v>
      </c>
      <c r="E2424" s="24"/>
      <c r="F2424" s="24"/>
      <c r="G2424" s="24"/>
      <c r="H2424" s="24"/>
      <c r="I2424" s="24" t="s">
        <v>38</v>
      </c>
      <c r="J2424" s="83" t="s">
        <v>2479</v>
      </c>
      <c r="K2424" s="24"/>
    </row>
    <row r="2425" ht="28.5" outlineLevel="1" spans="1:11">
      <c r="A2425" s="24"/>
      <c r="B2425" s="81" t="str">
        <f t="shared" si="56"/>
        <v>15B7</v>
      </c>
      <c r="C2425" s="106" t="s">
        <v>2867</v>
      </c>
      <c r="D2425" s="24" t="s">
        <v>89</v>
      </c>
      <c r="E2425" s="24"/>
      <c r="F2425" s="24"/>
      <c r="G2425" s="24"/>
      <c r="H2425" s="24"/>
      <c r="I2425" s="24" t="s">
        <v>38</v>
      </c>
      <c r="J2425" s="83" t="s">
        <v>2481</v>
      </c>
      <c r="K2425" s="24"/>
    </row>
    <row r="2426" outlineLevel="1" spans="1:11">
      <c r="A2426" s="24"/>
      <c r="B2426" s="81" t="str">
        <f t="shared" si="56"/>
        <v>15B8</v>
      </c>
      <c r="C2426" s="146" t="s">
        <v>2868</v>
      </c>
      <c r="D2426" s="24" t="s">
        <v>89</v>
      </c>
      <c r="E2426" s="24"/>
      <c r="F2426" s="24"/>
      <c r="G2426" s="24"/>
      <c r="H2426" s="24"/>
      <c r="I2426" s="24" t="s">
        <v>38</v>
      </c>
      <c r="J2426" s="83" t="s">
        <v>2869</v>
      </c>
      <c r="K2426" s="24"/>
    </row>
    <row r="2427" ht="42.75" outlineLevel="1" spans="1:11">
      <c r="A2427" s="24"/>
      <c r="B2427" s="81" t="str">
        <f t="shared" si="56"/>
        <v>15B9</v>
      </c>
      <c r="C2427" s="106" t="s">
        <v>2870</v>
      </c>
      <c r="D2427" s="24" t="s">
        <v>89</v>
      </c>
      <c r="E2427" s="24"/>
      <c r="F2427" s="24"/>
      <c r="G2427" s="24"/>
      <c r="H2427" s="24"/>
      <c r="I2427" s="24" t="s">
        <v>38</v>
      </c>
      <c r="J2427" s="83" t="s">
        <v>2477</v>
      </c>
      <c r="K2427" s="24"/>
    </row>
    <row r="2428" ht="28.5" outlineLevel="1" spans="1:11">
      <c r="A2428" s="24"/>
      <c r="B2428" s="81" t="str">
        <f t="shared" si="56"/>
        <v>15BA</v>
      </c>
      <c r="C2428" s="106" t="s">
        <v>2871</v>
      </c>
      <c r="D2428" s="24" t="s">
        <v>89</v>
      </c>
      <c r="E2428" s="24"/>
      <c r="F2428" s="24"/>
      <c r="G2428" s="24"/>
      <c r="H2428" s="24"/>
      <c r="I2428" s="24" t="s">
        <v>38</v>
      </c>
      <c r="J2428" s="83" t="s">
        <v>2479</v>
      </c>
      <c r="K2428" s="24"/>
    </row>
    <row r="2429" ht="28.5" outlineLevel="1" spans="1:11">
      <c r="A2429" s="24"/>
      <c r="B2429" s="81" t="str">
        <f t="shared" si="56"/>
        <v>15BB</v>
      </c>
      <c r="C2429" s="106" t="s">
        <v>2872</v>
      </c>
      <c r="D2429" s="24" t="s">
        <v>89</v>
      </c>
      <c r="E2429" s="24"/>
      <c r="F2429" s="24"/>
      <c r="G2429" s="24"/>
      <c r="H2429" s="24"/>
      <c r="I2429" s="24" t="s">
        <v>38</v>
      </c>
      <c r="J2429" s="83" t="s">
        <v>2481</v>
      </c>
      <c r="K2429" s="24"/>
    </row>
    <row r="2430" outlineLevel="1" spans="1:11">
      <c r="A2430" s="24"/>
      <c r="B2430" s="81" t="str">
        <f t="shared" si="56"/>
        <v>15BC</v>
      </c>
      <c r="C2430" s="146" t="s">
        <v>2873</v>
      </c>
      <c r="D2430" s="24" t="s">
        <v>89</v>
      </c>
      <c r="E2430" s="24"/>
      <c r="F2430" s="24"/>
      <c r="G2430" s="24"/>
      <c r="H2430" s="24"/>
      <c r="I2430" s="24" t="s">
        <v>38</v>
      </c>
      <c r="J2430" s="83" t="s">
        <v>2874</v>
      </c>
      <c r="K2430" s="24"/>
    </row>
    <row r="2431" ht="42.75" outlineLevel="1" spans="1:11">
      <c r="A2431" s="24"/>
      <c r="B2431" s="81" t="str">
        <f t="shared" si="56"/>
        <v>15BD</v>
      </c>
      <c r="C2431" s="106" t="s">
        <v>2875</v>
      </c>
      <c r="D2431" s="24" t="s">
        <v>89</v>
      </c>
      <c r="E2431" s="24"/>
      <c r="F2431" s="24"/>
      <c r="G2431" s="24"/>
      <c r="H2431" s="24"/>
      <c r="I2431" s="24" t="s">
        <v>38</v>
      </c>
      <c r="J2431" s="83" t="s">
        <v>2477</v>
      </c>
      <c r="K2431" s="24"/>
    </row>
    <row r="2432" ht="28.5" outlineLevel="1" spans="1:11">
      <c r="A2432" s="24"/>
      <c r="B2432" s="81" t="str">
        <f t="shared" si="56"/>
        <v>15BE</v>
      </c>
      <c r="C2432" s="106" t="s">
        <v>2876</v>
      </c>
      <c r="D2432" s="24" t="s">
        <v>89</v>
      </c>
      <c r="E2432" s="24"/>
      <c r="F2432" s="24"/>
      <c r="G2432" s="24"/>
      <c r="H2432" s="24"/>
      <c r="I2432" s="24" t="s">
        <v>38</v>
      </c>
      <c r="J2432" s="83" t="s">
        <v>2479</v>
      </c>
      <c r="K2432" s="24"/>
    </row>
    <row r="2433" ht="28.5" outlineLevel="1" spans="1:11">
      <c r="A2433" s="24"/>
      <c r="B2433" s="81" t="str">
        <f t="shared" si="56"/>
        <v>15BF</v>
      </c>
      <c r="C2433" s="106" t="s">
        <v>2877</v>
      </c>
      <c r="D2433" s="24" t="s">
        <v>89</v>
      </c>
      <c r="E2433" s="24"/>
      <c r="F2433" s="24"/>
      <c r="G2433" s="24"/>
      <c r="H2433" s="24"/>
      <c r="I2433" s="24" t="s">
        <v>38</v>
      </c>
      <c r="J2433" s="83" t="s">
        <v>2481</v>
      </c>
      <c r="K2433" s="24"/>
    </row>
    <row r="2434" outlineLevel="1" spans="1:11">
      <c r="A2434" s="24"/>
      <c r="B2434" s="81" t="str">
        <f t="shared" si="56"/>
        <v>15C0</v>
      </c>
      <c r="C2434" s="146" t="s">
        <v>2878</v>
      </c>
      <c r="D2434" s="24" t="s">
        <v>89</v>
      </c>
      <c r="E2434" s="24"/>
      <c r="F2434" s="24"/>
      <c r="G2434" s="24"/>
      <c r="H2434" s="24"/>
      <c r="I2434" s="24" t="s">
        <v>38</v>
      </c>
      <c r="J2434" s="83" t="s">
        <v>2879</v>
      </c>
      <c r="K2434" s="24"/>
    </row>
    <row r="2435" ht="42.75" outlineLevel="1" spans="1:11">
      <c r="A2435" s="24"/>
      <c r="B2435" s="81" t="str">
        <f t="shared" si="56"/>
        <v>15C1</v>
      </c>
      <c r="C2435" s="106" t="s">
        <v>2880</v>
      </c>
      <c r="D2435" s="24" t="s">
        <v>89</v>
      </c>
      <c r="E2435" s="24"/>
      <c r="F2435" s="24"/>
      <c r="G2435" s="24"/>
      <c r="H2435" s="24"/>
      <c r="I2435" s="24" t="s">
        <v>38</v>
      </c>
      <c r="J2435" s="83" t="s">
        <v>2477</v>
      </c>
      <c r="K2435" s="24"/>
    </row>
    <row r="2436" ht="28.5" outlineLevel="1" spans="1:11">
      <c r="A2436" s="24"/>
      <c r="B2436" s="81" t="str">
        <f t="shared" si="56"/>
        <v>15C2</v>
      </c>
      <c r="C2436" s="106" t="s">
        <v>2881</v>
      </c>
      <c r="D2436" s="24" t="s">
        <v>89</v>
      </c>
      <c r="E2436" s="24"/>
      <c r="F2436" s="24"/>
      <c r="G2436" s="24"/>
      <c r="H2436" s="24"/>
      <c r="I2436" s="24" t="s">
        <v>38</v>
      </c>
      <c r="J2436" s="83" t="s">
        <v>2479</v>
      </c>
      <c r="K2436" s="24"/>
    </row>
    <row r="2437" ht="28.5" outlineLevel="1" spans="1:11">
      <c r="A2437" s="24"/>
      <c r="B2437" s="81" t="str">
        <f t="shared" si="56"/>
        <v>15C3</v>
      </c>
      <c r="C2437" s="106" t="s">
        <v>2882</v>
      </c>
      <c r="D2437" s="24" t="s">
        <v>89</v>
      </c>
      <c r="E2437" s="24"/>
      <c r="F2437" s="24"/>
      <c r="G2437" s="24"/>
      <c r="H2437" s="24"/>
      <c r="I2437" s="24" t="s">
        <v>38</v>
      </c>
      <c r="J2437" s="83" t="s">
        <v>2481</v>
      </c>
      <c r="K2437" s="24"/>
    </row>
    <row r="2438" outlineLevel="1" spans="1:11">
      <c r="A2438" s="24"/>
      <c r="B2438" s="81" t="str">
        <f t="shared" si="56"/>
        <v>15C4</v>
      </c>
      <c r="C2438" s="146" t="s">
        <v>2883</v>
      </c>
      <c r="D2438" s="24" t="s">
        <v>89</v>
      </c>
      <c r="E2438" s="24"/>
      <c r="F2438" s="24"/>
      <c r="G2438" s="24"/>
      <c r="H2438" s="24"/>
      <c r="I2438" s="24" t="s">
        <v>38</v>
      </c>
      <c r="J2438" s="83" t="s">
        <v>2884</v>
      </c>
      <c r="K2438" s="24"/>
    </row>
    <row r="2439" ht="42.75" outlineLevel="1" spans="1:11">
      <c r="A2439" s="24"/>
      <c r="B2439" s="81" t="str">
        <f t="shared" si="56"/>
        <v>15C5</v>
      </c>
      <c r="C2439" s="106" t="s">
        <v>2885</v>
      </c>
      <c r="D2439" s="24" t="s">
        <v>89</v>
      </c>
      <c r="E2439" s="24"/>
      <c r="F2439" s="24"/>
      <c r="G2439" s="24"/>
      <c r="H2439" s="24"/>
      <c r="I2439" s="24" t="s">
        <v>38</v>
      </c>
      <c r="J2439" s="83" t="s">
        <v>2477</v>
      </c>
      <c r="K2439" s="24"/>
    </row>
    <row r="2440" ht="28.5" outlineLevel="1" spans="1:11">
      <c r="A2440" s="24"/>
      <c r="B2440" s="81" t="str">
        <f t="shared" si="56"/>
        <v>15C6</v>
      </c>
      <c r="C2440" s="106" t="s">
        <v>2886</v>
      </c>
      <c r="D2440" s="24" t="s">
        <v>89</v>
      </c>
      <c r="E2440" s="24"/>
      <c r="F2440" s="24"/>
      <c r="G2440" s="24"/>
      <c r="H2440" s="24"/>
      <c r="I2440" s="24" t="s">
        <v>38</v>
      </c>
      <c r="J2440" s="83" t="s">
        <v>2479</v>
      </c>
      <c r="K2440" s="24"/>
    </row>
    <row r="2441" ht="28.5" outlineLevel="1" spans="1:11">
      <c r="A2441" s="24"/>
      <c r="B2441" s="81" t="str">
        <f t="shared" si="56"/>
        <v>15C7</v>
      </c>
      <c r="C2441" s="106" t="s">
        <v>2887</v>
      </c>
      <c r="D2441" s="24" t="s">
        <v>89</v>
      </c>
      <c r="E2441" s="24"/>
      <c r="F2441" s="24"/>
      <c r="G2441" s="24"/>
      <c r="H2441" s="24"/>
      <c r="I2441" s="24" t="s">
        <v>38</v>
      </c>
      <c r="J2441" s="83" t="s">
        <v>2481</v>
      </c>
      <c r="K2441" s="24"/>
    </row>
    <row r="2442" outlineLevel="1" spans="1:11">
      <c r="A2442" s="24"/>
      <c r="B2442" s="81" t="str">
        <f t="shared" si="56"/>
        <v>15C8</v>
      </c>
      <c r="C2442" s="146" t="s">
        <v>2888</v>
      </c>
      <c r="D2442" s="24" t="s">
        <v>89</v>
      </c>
      <c r="E2442" s="24"/>
      <c r="F2442" s="24"/>
      <c r="G2442" s="24"/>
      <c r="H2442" s="24"/>
      <c r="I2442" s="24" t="s">
        <v>38</v>
      </c>
      <c r="J2442" s="83" t="s">
        <v>2889</v>
      </c>
      <c r="K2442" s="24"/>
    </row>
    <row r="2443" ht="42.75" outlineLevel="1" spans="1:11">
      <c r="A2443" s="24"/>
      <c r="B2443" s="81" t="str">
        <f t="shared" si="56"/>
        <v>15C9</v>
      </c>
      <c r="C2443" s="106" t="s">
        <v>2890</v>
      </c>
      <c r="D2443" s="24" t="s">
        <v>89</v>
      </c>
      <c r="E2443" s="24"/>
      <c r="F2443" s="24"/>
      <c r="G2443" s="24"/>
      <c r="H2443" s="24"/>
      <c r="I2443" s="24" t="s">
        <v>38</v>
      </c>
      <c r="J2443" s="83" t="s">
        <v>2477</v>
      </c>
      <c r="K2443" s="24"/>
    </row>
    <row r="2444" ht="28.5" outlineLevel="1" spans="1:11">
      <c r="A2444" s="24"/>
      <c r="B2444" s="81" t="str">
        <f t="shared" si="56"/>
        <v>15CA</v>
      </c>
      <c r="C2444" s="106" t="s">
        <v>2891</v>
      </c>
      <c r="D2444" s="24" t="s">
        <v>89</v>
      </c>
      <c r="E2444" s="24"/>
      <c r="F2444" s="24"/>
      <c r="G2444" s="24"/>
      <c r="H2444" s="24"/>
      <c r="I2444" s="24" t="s">
        <v>38</v>
      </c>
      <c r="J2444" s="83" t="s">
        <v>2479</v>
      </c>
      <c r="K2444" s="24"/>
    </row>
    <row r="2445" ht="28.5" outlineLevel="1" spans="1:11">
      <c r="A2445" s="24"/>
      <c r="B2445" s="81" t="str">
        <f t="shared" si="56"/>
        <v>15CB</v>
      </c>
      <c r="C2445" s="106" t="s">
        <v>2892</v>
      </c>
      <c r="D2445" s="24" t="s">
        <v>89</v>
      </c>
      <c r="E2445" s="24"/>
      <c r="F2445" s="24"/>
      <c r="G2445" s="24"/>
      <c r="H2445" s="24"/>
      <c r="I2445" s="24" t="s">
        <v>38</v>
      </c>
      <c r="J2445" s="83" t="s">
        <v>2481</v>
      </c>
      <c r="K2445" s="24"/>
    </row>
    <row r="2446" outlineLevel="1" spans="1:11">
      <c r="A2446" s="24"/>
      <c r="B2446" s="81" t="str">
        <f t="shared" si="56"/>
        <v>15CC</v>
      </c>
      <c r="C2446" s="146" t="s">
        <v>2893</v>
      </c>
      <c r="D2446" s="24" t="s">
        <v>89</v>
      </c>
      <c r="E2446" s="24"/>
      <c r="F2446" s="24"/>
      <c r="G2446" s="24"/>
      <c r="H2446" s="24"/>
      <c r="I2446" s="24" t="s">
        <v>38</v>
      </c>
      <c r="J2446" s="83" t="s">
        <v>2894</v>
      </c>
      <c r="K2446" s="24"/>
    </row>
    <row r="2447" ht="42.75" outlineLevel="1" spans="1:11">
      <c r="A2447" s="24"/>
      <c r="B2447" s="81" t="str">
        <f t="shared" si="56"/>
        <v>15CD</v>
      </c>
      <c r="C2447" s="106" t="s">
        <v>2895</v>
      </c>
      <c r="D2447" s="24" t="s">
        <v>89</v>
      </c>
      <c r="E2447" s="24"/>
      <c r="F2447" s="24"/>
      <c r="G2447" s="24"/>
      <c r="H2447" s="24"/>
      <c r="I2447" s="24" t="s">
        <v>38</v>
      </c>
      <c r="J2447" s="83" t="s">
        <v>2477</v>
      </c>
      <c r="K2447" s="24"/>
    </row>
    <row r="2448" ht="28.5" outlineLevel="1" spans="1:11">
      <c r="A2448" s="24"/>
      <c r="B2448" s="81" t="str">
        <f t="shared" si="56"/>
        <v>15CE</v>
      </c>
      <c r="C2448" s="106" t="s">
        <v>2896</v>
      </c>
      <c r="D2448" s="24" t="s">
        <v>89</v>
      </c>
      <c r="E2448" s="24"/>
      <c r="F2448" s="24"/>
      <c r="G2448" s="24"/>
      <c r="H2448" s="24"/>
      <c r="I2448" s="24" t="s">
        <v>38</v>
      </c>
      <c r="J2448" s="83" t="s">
        <v>2479</v>
      </c>
      <c r="K2448" s="24"/>
    </row>
    <row r="2449" ht="28.5" outlineLevel="1" spans="1:11">
      <c r="A2449" s="24"/>
      <c r="B2449" s="81" t="str">
        <f t="shared" si="56"/>
        <v>15CF</v>
      </c>
      <c r="C2449" s="106" t="s">
        <v>2897</v>
      </c>
      <c r="D2449" s="24" t="s">
        <v>89</v>
      </c>
      <c r="E2449" s="24"/>
      <c r="F2449" s="24"/>
      <c r="G2449" s="24"/>
      <c r="H2449" s="24"/>
      <c r="I2449" s="24" t="s">
        <v>38</v>
      </c>
      <c r="J2449" s="83" t="s">
        <v>2481</v>
      </c>
      <c r="K2449" s="24"/>
    </row>
    <row r="2450" outlineLevel="1" spans="1:11">
      <c r="A2450" s="24"/>
      <c r="B2450" s="81" t="str">
        <f t="shared" si="56"/>
        <v>15D0</v>
      </c>
      <c r="C2450" s="146" t="s">
        <v>2898</v>
      </c>
      <c r="D2450" s="24" t="s">
        <v>89</v>
      </c>
      <c r="E2450" s="24"/>
      <c r="F2450" s="24"/>
      <c r="G2450" s="24"/>
      <c r="H2450" s="24"/>
      <c r="I2450" s="24" t="s">
        <v>38</v>
      </c>
      <c r="J2450" s="83" t="s">
        <v>2899</v>
      </c>
      <c r="K2450" s="24"/>
    </row>
    <row r="2451" ht="42.75" outlineLevel="1" spans="1:11">
      <c r="A2451" s="24"/>
      <c r="B2451" s="81" t="str">
        <f t="shared" si="56"/>
        <v>15D1</v>
      </c>
      <c r="C2451" s="106" t="s">
        <v>2900</v>
      </c>
      <c r="D2451" s="24" t="s">
        <v>89</v>
      </c>
      <c r="E2451" s="24"/>
      <c r="F2451" s="24"/>
      <c r="G2451" s="24"/>
      <c r="H2451" s="24"/>
      <c r="I2451" s="24" t="s">
        <v>38</v>
      </c>
      <c r="J2451" s="83" t="s">
        <v>2477</v>
      </c>
      <c r="K2451" s="24"/>
    </row>
    <row r="2452" ht="28.5" outlineLevel="1" spans="1:11">
      <c r="A2452" s="24"/>
      <c r="B2452" s="81" t="str">
        <f t="shared" si="56"/>
        <v>15D2</v>
      </c>
      <c r="C2452" s="106" t="s">
        <v>2901</v>
      </c>
      <c r="D2452" s="24" t="s">
        <v>89</v>
      </c>
      <c r="E2452" s="24"/>
      <c r="F2452" s="24"/>
      <c r="G2452" s="24"/>
      <c r="H2452" s="24"/>
      <c r="I2452" s="24" t="s">
        <v>38</v>
      </c>
      <c r="J2452" s="83" t="s">
        <v>2479</v>
      </c>
      <c r="K2452" s="24"/>
    </row>
    <row r="2453" ht="28.5" outlineLevel="1" spans="1:11">
      <c r="A2453" s="24"/>
      <c r="B2453" s="81" t="str">
        <f t="shared" si="56"/>
        <v>15D3</v>
      </c>
      <c r="C2453" s="106" t="s">
        <v>2902</v>
      </c>
      <c r="D2453" s="24" t="s">
        <v>89</v>
      </c>
      <c r="E2453" s="24"/>
      <c r="F2453" s="24"/>
      <c r="G2453" s="24"/>
      <c r="H2453" s="24"/>
      <c r="I2453" s="24" t="s">
        <v>38</v>
      </c>
      <c r="J2453" s="83" t="s">
        <v>2481</v>
      </c>
      <c r="K2453" s="24"/>
    </row>
    <row r="2454" outlineLevel="1" spans="1:11">
      <c r="A2454" s="24"/>
      <c r="B2454" s="81" t="str">
        <f t="shared" si="56"/>
        <v>15D4</v>
      </c>
      <c r="C2454" s="146" t="s">
        <v>2903</v>
      </c>
      <c r="D2454" s="24" t="s">
        <v>89</v>
      </c>
      <c r="E2454" s="24"/>
      <c r="F2454" s="24"/>
      <c r="G2454" s="24"/>
      <c r="H2454" s="24"/>
      <c r="I2454" s="24" t="s">
        <v>38</v>
      </c>
      <c r="J2454" s="83" t="s">
        <v>2904</v>
      </c>
      <c r="K2454" s="24"/>
    </row>
    <row r="2455" ht="42.75" outlineLevel="1" spans="1:11">
      <c r="A2455" s="24"/>
      <c r="B2455" s="81" t="str">
        <f t="shared" si="56"/>
        <v>15D5</v>
      </c>
      <c r="C2455" s="106" t="s">
        <v>2905</v>
      </c>
      <c r="D2455" s="24" t="s">
        <v>89</v>
      </c>
      <c r="E2455" s="24"/>
      <c r="F2455" s="24"/>
      <c r="G2455" s="24"/>
      <c r="H2455" s="24"/>
      <c r="I2455" s="24" t="s">
        <v>38</v>
      </c>
      <c r="J2455" s="83" t="s">
        <v>2477</v>
      </c>
      <c r="K2455" s="24"/>
    </row>
    <row r="2456" ht="28.5" outlineLevel="1" spans="1:11">
      <c r="A2456" s="24"/>
      <c r="B2456" s="81" t="str">
        <f t="shared" si="56"/>
        <v>15D6</v>
      </c>
      <c r="C2456" s="106" t="s">
        <v>2906</v>
      </c>
      <c r="D2456" s="24" t="s">
        <v>89</v>
      </c>
      <c r="E2456" s="24"/>
      <c r="F2456" s="24"/>
      <c r="G2456" s="24"/>
      <c r="H2456" s="24"/>
      <c r="I2456" s="24" t="s">
        <v>38</v>
      </c>
      <c r="J2456" s="83" t="s">
        <v>2479</v>
      </c>
      <c r="K2456" s="24"/>
    </row>
    <row r="2457" ht="28.5" outlineLevel="1" spans="1:11">
      <c r="A2457" s="24"/>
      <c r="B2457" s="81" t="str">
        <f t="shared" si="56"/>
        <v>15D7</v>
      </c>
      <c r="C2457" s="106" t="s">
        <v>2907</v>
      </c>
      <c r="D2457" s="24" t="s">
        <v>89</v>
      </c>
      <c r="E2457" s="24"/>
      <c r="F2457" s="24"/>
      <c r="G2457" s="24"/>
      <c r="H2457" s="24"/>
      <c r="I2457" s="24" t="s">
        <v>38</v>
      </c>
      <c r="J2457" s="83" t="s">
        <v>2481</v>
      </c>
      <c r="K2457" s="24"/>
    </row>
    <row r="2458" outlineLevel="1" spans="1:11">
      <c r="A2458" s="24"/>
      <c r="B2458" s="81" t="str">
        <f t="shared" si="56"/>
        <v>15D8</v>
      </c>
      <c r="C2458" s="146" t="s">
        <v>2908</v>
      </c>
      <c r="D2458" s="24" t="s">
        <v>89</v>
      </c>
      <c r="E2458" s="24"/>
      <c r="F2458" s="24"/>
      <c r="G2458" s="24"/>
      <c r="H2458" s="24"/>
      <c r="I2458" s="24" t="s">
        <v>38</v>
      </c>
      <c r="J2458" s="83" t="s">
        <v>2909</v>
      </c>
      <c r="K2458" s="24"/>
    </row>
    <row r="2459" ht="42.75" outlineLevel="1" spans="1:11">
      <c r="A2459" s="24"/>
      <c r="B2459" s="81" t="str">
        <f t="shared" si="56"/>
        <v>15D9</v>
      </c>
      <c r="C2459" s="106" t="s">
        <v>2910</v>
      </c>
      <c r="D2459" s="24" t="s">
        <v>89</v>
      </c>
      <c r="E2459" s="24"/>
      <c r="F2459" s="24"/>
      <c r="G2459" s="24"/>
      <c r="H2459" s="24"/>
      <c r="I2459" s="24" t="s">
        <v>38</v>
      </c>
      <c r="J2459" s="83" t="s">
        <v>2477</v>
      </c>
      <c r="K2459" s="24"/>
    </row>
    <row r="2460" ht="28.5" outlineLevel="1" spans="1:11">
      <c r="A2460" s="24"/>
      <c r="B2460" s="81" t="str">
        <f t="shared" si="56"/>
        <v>15DA</v>
      </c>
      <c r="C2460" s="106" t="s">
        <v>2911</v>
      </c>
      <c r="D2460" s="24" t="s">
        <v>89</v>
      </c>
      <c r="E2460" s="24"/>
      <c r="F2460" s="24"/>
      <c r="G2460" s="24"/>
      <c r="H2460" s="24"/>
      <c r="I2460" s="24" t="s">
        <v>38</v>
      </c>
      <c r="J2460" s="83" t="s">
        <v>2479</v>
      </c>
      <c r="K2460" s="24"/>
    </row>
    <row r="2461" ht="28.5" outlineLevel="1" spans="1:11">
      <c r="A2461" s="24"/>
      <c r="B2461" s="81" t="str">
        <f t="shared" si="56"/>
        <v>15DB</v>
      </c>
      <c r="C2461" s="106" t="s">
        <v>2912</v>
      </c>
      <c r="D2461" s="24" t="s">
        <v>89</v>
      </c>
      <c r="E2461" s="24"/>
      <c r="F2461" s="24"/>
      <c r="G2461" s="24"/>
      <c r="H2461" s="24"/>
      <c r="I2461" s="24" t="s">
        <v>38</v>
      </c>
      <c r="J2461" s="83" t="s">
        <v>2481</v>
      </c>
      <c r="K2461" s="24"/>
    </row>
    <row r="2462" outlineLevel="1" spans="1:11">
      <c r="A2462" s="24"/>
      <c r="B2462" s="81" t="str">
        <f t="shared" si="56"/>
        <v>15DC</v>
      </c>
      <c r="C2462" s="146" t="s">
        <v>2913</v>
      </c>
      <c r="D2462" s="24" t="s">
        <v>89</v>
      </c>
      <c r="E2462" s="24"/>
      <c r="F2462" s="24"/>
      <c r="G2462" s="24"/>
      <c r="H2462" s="24"/>
      <c r="I2462" s="24" t="s">
        <v>38</v>
      </c>
      <c r="J2462" s="83" t="s">
        <v>2914</v>
      </c>
      <c r="K2462" s="24"/>
    </row>
    <row r="2463" ht="42.75" outlineLevel="1" spans="1:11">
      <c r="A2463" s="24"/>
      <c r="B2463" s="81" t="str">
        <f t="shared" si="56"/>
        <v>15DD</v>
      </c>
      <c r="C2463" s="106" t="s">
        <v>2915</v>
      </c>
      <c r="D2463" s="24" t="s">
        <v>89</v>
      </c>
      <c r="E2463" s="24"/>
      <c r="F2463" s="24"/>
      <c r="G2463" s="24"/>
      <c r="H2463" s="24"/>
      <c r="I2463" s="24" t="s">
        <v>38</v>
      </c>
      <c r="J2463" s="83" t="s">
        <v>2477</v>
      </c>
      <c r="K2463" s="24"/>
    </row>
    <row r="2464" ht="28.5" outlineLevel="1" spans="1:11">
      <c r="A2464" s="24"/>
      <c r="B2464" s="81" t="str">
        <f t="shared" si="56"/>
        <v>15DE</v>
      </c>
      <c r="C2464" s="106" t="s">
        <v>2916</v>
      </c>
      <c r="D2464" s="24" t="s">
        <v>89</v>
      </c>
      <c r="E2464" s="24"/>
      <c r="F2464" s="24"/>
      <c r="G2464" s="24"/>
      <c r="H2464" s="24"/>
      <c r="I2464" s="24" t="s">
        <v>38</v>
      </c>
      <c r="J2464" s="83" t="s">
        <v>2479</v>
      </c>
      <c r="K2464" s="24"/>
    </row>
    <row r="2465" ht="28.5" outlineLevel="1" spans="1:11">
      <c r="A2465" s="24"/>
      <c r="B2465" s="81" t="str">
        <f t="shared" si="56"/>
        <v>15DF</v>
      </c>
      <c r="C2465" s="106" t="s">
        <v>2917</v>
      </c>
      <c r="D2465" s="24" t="s">
        <v>89</v>
      </c>
      <c r="E2465" s="24"/>
      <c r="F2465" s="24"/>
      <c r="G2465" s="24"/>
      <c r="H2465" s="24"/>
      <c r="I2465" s="24" t="s">
        <v>38</v>
      </c>
      <c r="J2465" s="83" t="s">
        <v>2481</v>
      </c>
      <c r="K2465" s="24"/>
    </row>
    <row r="2466" outlineLevel="1" spans="1:11">
      <c r="A2466" s="24"/>
      <c r="B2466" s="81" t="str">
        <f t="shared" si="56"/>
        <v>15E0</v>
      </c>
      <c r="C2466" s="146" t="s">
        <v>2918</v>
      </c>
      <c r="D2466" s="24" t="s">
        <v>89</v>
      </c>
      <c r="E2466" s="24"/>
      <c r="F2466" s="24"/>
      <c r="G2466" s="24"/>
      <c r="H2466" s="24"/>
      <c r="I2466" s="24" t="s">
        <v>38</v>
      </c>
      <c r="J2466" s="83" t="s">
        <v>2919</v>
      </c>
      <c r="K2466" s="24"/>
    </row>
    <row r="2467" ht="42.75" outlineLevel="1" spans="1:11">
      <c r="A2467" s="24"/>
      <c r="B2467" s="81" t="str">
        <f t="shared" si="56"/>
        <v>15E1</v>
      </c>
      <c r="C2467" s="106" t="s">
        <v>2920</v>
      </c>
      <c r="D2467" s="24" t="s">
        <v>89</v>
      </c>
      <c r="E2467" s="24"/>
      <c r="F2467" s="24"/>
      <c r="G2467" s="24"/>
      <c r="H2467" s="24"/>
      <c r="I2467" s="24" t="s">
        <v>38</v>
      </c>
      <c r="J2467" s="83" t="s">
        <v>2477</v>
      </c>
      <c r="K2467" s="24"/>
    </row>
    <row r="2468" ht="28.5" outlineLevel="1" spans="1:11">
      <c r="A2468" s="24"/>
      <c r="B2468" s="81" t="str">
        <f t="shared" si="56"/>
        <v>15E2</v>
      </c>
      <c r="C2468" s="106" t="s">
        <v>2921</v>
      </c>
      <c r="D2468" s="24" t="s">
        <v>89</v>
      </c>
      <c r="E2468" s="24"/>
      <c r="F2468" s="24"/>
      <c r="G2468" s="24"/>
      <c r="H2468" s="24"/>
      <c r="I2468" s="24" t="s">
        <v>38</v>
      </c>
      <c r="J2468" s="83" t="s">
        <v>2479</v>
      </c>
      <c r="K2468" s="24"/>
    </row>
    <row r="2469" ht="28.5" outlineLevel="1" spans="1:11">
      <c r="A2469" s="24"/>
      <c r="B2469" s="81" t="str">
        <f t="shared" ref="B2469:B2513" si="57">DEC2HEX(4928+ROW()-ROW($B$1794),4)</f>
        <v>15E3</v>
      </c>
      <c r="C2469" s="106" t="s">
        <v>2922</v>
      </c>
      <c r="D2469" s="24" t="s">
        <v>89</v>
      </c>
      <c r="E2469" s="24"/>
      <c r="F2469" s="24"/>
      <c r="G2469" s="24"/>
      <c r="H2469" s="24"/>
      <c r="I2469" s="24" t="s">
        <v>38</v>
      </c>
      <c r="J2469" s="83" t="s">
        <v>2481</v>
      </c>
      <c r="K2469" s="24"/>
    </row>
    <row r="2470" outlineLevel="1" spans="1:11">
      <c r="A2470" s="24"/>
      <c r="B2470" s="81" t="str">
        <f t="shared" si="57"/>
        <v>15E4</v>
      </c>
      <c r="C2470" s="146" t="s">
        <v>2923</v>
      </c>
      <c r="D2470" s="24" t="s">
        <v>89</v>
      </c>
      <c r="E2470" s="24"/>
      <c r="F2470" s="24"/>
      <c r="G2470" s="24"/>
      <c r="H2470" s="24"/>
      <c r="I2470" s="24" t="s">
        <v>38</v>
      </c>
      <c r="J2470" s="83" t="s">
        <v>2924</v>
      </c>
      <c r="K2470" s="24"/>
    </row>
    <row r="2471" ht="42.75" outlineLevel="1" spans="1:11">
      <c r="A2471" s="24"/>
      <c r="B2471" s="81" t="str">
        <f t="shared" si="57"/>
        <v>15E5</v>
      </c>
      <c r="C2471" s="106" t="s">
        <v>2925</v>
      </c>
      <c r="D2471" s="24" t="s">
        <v>89</v>
      </c>
      <c r="E2471" s="24"/>
      <c r="F2471" s="24"/>
      <c r="G2471" s="24"/>
      <c r="H2471" s="24"/>
      <c r="I2471" s="24" t="s">
        <v>38</v>
      </c>
      <c r="J2471" s="83" t="s">
        <v>2477</v>
      </c>
      <c r="K2471" s="24"/>
    </row>
    <row r="2472" ht="28.5" outlineLevel="1" spans="1:11">
      <c r="A2472" s="24"/>
      <c r="B2472" s="81" t="str">
        <f t="shared" si="57"/>
        <v>15E6</v>
      </c>
      <c r="C2472" s="106" t="s">
        <v>2926</v>
      </c>
      <c r="D2472" s="24" t="s">
        <v>89</v>
      </c>
      <c r="E2472" s="24"/>
      <c r="F2472" s="24"/>
      <c r="G2472" s="24"/>
      <c r="H2472" s="24"/>
      <c r="I2472" s="24" t="s">
        <v>38</v>
      </c>
      <c r="J2472" s="83" t="s">
        <v>2479</v>
      </c>
      <c r="K2472" s="24"/>
    </row>
    <row r="2473" ht="28.5" outlineLevel="1" spans="1:11">
      <c r="A2473" s="24"/>
      <c r="B2473" s="81" t="str">
        <f t="shared" si="57"/>
        <v>15E7</v>
      </c>
      <c r="C2473" s="106" t="s">
        <v>2927</v>
      </c>
      <c r="D2473" s="24" t="s">
        <v>89</v>
      </c>
      <c r="E2473" s="24"/>
      <c r="F2473" s="24"/>
      <c r="G2473" s="24"/>
      <c r="H2473" s="24"/>
      <c r="I2473" s="24" t="s">
        <v>38</v>
      </c>
      <c r="J2473" s="83" t="s">
        <v>2481</v>
      </c>
      <c r="K2473" s="24"/>
    </row>
    <row r="2474" outlineLevel="1" spans="1:11">
      <c r="A2474" s="24"/>
      <c r="B2474" s="81" t="str">
        <f t="shared" si="57"/>
        <v>15E8</v>
      </c>
      <c r="C2474" s="146" t="s">
        <v>2928</v>
      </c>
      <c r="D2474" s="24" t="s">
        <v>89</v>
      </c>
      <c r="E2474" s="24"/>
      <c r="F2474" s="24"/>
      <c r="G2474" s="24"/>
      <c r="H2474" s="24"/>
      <c r="I2474" s="24" t="s">
        <v>38</v>
      </c>
      <c r="J2474" s="83" t="s">
        <v>2929</v>
      </c>
      <c r="K2474" s="24"/>
    </row>
    <row r="2475" ht="42.75" outlineLevel="1" spans="1:11">
      <c r="A2475" s="24"/>
      <c r="B2475" s="81" t="str">
        <f t="shared" si="57"/>
        <v>15E9</v>
      </c>
      <c r="C2475" s="106" t="s">
        <v>2930</v>
      </c>
      <c r="D2475" s="24" t="s">
        <v>89</v>
      </c>
      <c r="E2475" s="24"/>
      <c r="F2475" s="24"/>
      <c r="G2475" s="24"/>
      <c r="H2475" s="24"/>
      <c r="I2475" s="24" t="s">
        <v>38</v>
      </c>
      <c r="J2475" s="83" t="s">
        <v>2477</v>
      </c>
      <c r="K2475" s="24"/>
    </row>
    <row r="2476" ht="28.5" outlineLevel="1" spans="1:11">
      <c r="A2476" s="24"/>
      <c r="B2476" s="81" t="str">
        <f t="shared" si="57"/>
        <v>15EA</v>
      </c>
      <c r="C2476" s="106" t="s">
        <v>2931</v>
      </c>
      <c r="D2476" s="24" t="s">
        <v>89</v>
      </c>
      <c r="E2476" s="24"/>
      <c r="F2476" s="24"/>
      <c r="G2476" s="24"/>
      <c r="H2476" s="24"/>
      <c r="I2476" s="24" t="s">
        <v>38</v>
      </c>
      <c r="J2476" s="83" t="s">
        <v>2479</v>
      </c>
      <c r="K2476" s="24"/>
    </row>
    <row r="2477" ht="28.5" outlineLevel="1" spans="1:11">
      <c r="A2477" s="24"/>
      <c r="B2477" s="81" t="str">
        <f t="shared" si="57"/>
        <v>15EB</v>
      </c>
      <c r="C2477" s="106" t="s">
        <v>2932</v>
      </c>
      <c r="D2477" s="24" t="s">
        <v>89</v>
      </c>
      <c r="E2477" s="24"/>
      <c r="F2477" s="24"/>
      <c r="G2477" s="24"/>
      <c r="H2477" s="24"/>
      <c r="I2477" s="24" t="s">
        <v>38</v>
      </c>
      <c r="J2477" s="83" t="s">
        <v>2481</v>
      </c>
      <c r="K2477" s="24"/>
    </row>
    <row r="2478" outlineLevel="1" spans="1:11">
      <c r="A2478" s="24"/>
      <c r="B2478" s="81" t="str">
        <f t="shared" si="57"/>
        <v>15EC</v>
      </c>
      <c r="C2478" s="146" t="s">
        <v>2933</v>
      </c>
      <c r="D2478" s="24" t="s">
        <v>89</v>
      </c>
      <c r="E2478" s="24"/>
      <c r="F2478" s="24"/>
      <c r="G2478" s="24"/>
      <c r="H2478" s="24"/>
      <c r="I2478" s="24" t="s">
        <v>38</v>
      </c>
      <c r="J2478" s="83" t="s">
        <v>2934</v>
      </c>
      <c r="K2478" s="24"/>
    </row>
    <row r="2479" ht="42.75" outlineLevel="1" spans="1:11">
      <c r="A2479" s="24"/>
      <c r="B2479" s="81" t="str">
        <f t="shared" si="57"/>
        <v>15ED</v>
      </c>
      <c r="C2479" s="106" t="s">
        <v>2935</v>
      </c>
      <c r="D2479" s="24" t="s">
        <v>89</v>
      </c>
      <c r="E2479" s="24"/>
      <c r="F2479" s="24"/>
      <c r="G2479" s="24"/>
      <c r="H2479" s="24"/>
      <c r="I2479" s="24" t="s">
        <v>38</v>
      </c>
      <c r="J2479" s="83" t="s">
        <v>2477</v>
      </c>
      <c r="K2479" s="24"/>
    </row>
    <row r="2480" ht="28.5" outlineLevel="1" spans="1:11">
      <c r="A2480" s="24"/>
      <c r="B2480" s="81" t="str">
        <f t="shared" si="57"/>
        <v>15EE</v>
      </c>
      <c r="C2480" s="106" t="s">
        <v>2936</v>
      </c>
      <c r="D2480" s="24" t="s">
        <v>89</v>
      </c>
      <c r="E2480" s="24"/>
      <c r="F2480" s="24"/>
      <c r="G2480" s="24"/>
      <c r="H2480" s="24"/>
      <c r="I2480" s="24" t="s">
        <v>38</v>
      </c>
      <c r="J2480" s="83" t="s">
        <v>2479</v>
      </c>
      <c r="K2480" s="24"/>
    </row>
    <row r="2481" ht="28.5" outlineLevel="1" spans="1:11">
      <c r="A2481" s="24"/>
      <c r="B2481" s="81" t="str">
        <f t="shared" si="57"/>
        <v>15EF</v>
      </c>
      <c r="C2481" s="106" t="s">
        <v>2937</v>
      </c>
      <c r="D2481" s="24" t="s">
        <v>89</v>
      </c>
      <c r="E2481" s="24"/>
      <c r="F2481" s="24"/>
      <c r="G2481" s="24"/>
      <c r="H2481" s="24"/>
      <c r="I2481" s="24" t="s">
        <v>38</v>
      </c>
      <c r="J2481" s="83" t="s">
        <v>2481</v>
      </c>
      <c r="K2481" s="24"/>
    </row>
    <row r="2482" outlineLevel="1" spans="1:11">
      <c r="A2482" s="24"/>
      <c r="B2482" s="81" t="str">
        <f t="shared" si="57"/>
        <v>15F0</v>
      </c>
      <c r="C2482" s="146" t="s">
        <v>2938</v>
      </c>
      <c r="D2482" s="24" t="s">
        <v>89</v>
      </c>
      <c r="E2482" s="24"/>
      <c r="F2482" s="24"/>
      <c r="G2482" s="24"/>
      <c r="H2482" s="24"/>
      <c r="I2482" s="24" t="s">
        <v>38</v>
      </c>
      <c r="J2482" s="83" t="s">
        <v>2939</v>
      </c>
      <c r="K2482" s="24"/>
    </row>
    <row r="2483" ht="42.75" outlineLevel="1" spans="1:11">
      <c r="A2483" s="24"/>
      <c r="B2483" s="81" t="str">
        <f t="shared" si="57"/>
        <v>15F1</v>
      </c>
      <c r="C2483" s="106" t="s">
        <v>2940</v>
      </c>
      <c r="D2483" s="24" t="s">
        <v>89</v>
      </c>
      <c r="E2483" s="24"/>
      <c r="F2483" s="24"/>
      <c r="G2483" s="24"/>
      <c r="H2483" s="24"/>
      <c r="I2483" s="24" t="s">
        <v>38</v>
      </c>
      <c r="J2483" s="83" t="s">
        <v>2477</v>
      </c>
      <c r="K2483" s="24"/>
    </row>
    <row r="2484" ht="28.5" outlineLevel="1" spans="1:11">
      <c r="A2484" s="24"/>
      <c r="B2484" s="81" t="str">
        <f t="shared" si="57"/>
        <v>15F2</v>
      </c>
      <c r="C2484" s="106" t="s">
        <v>2941</v>
      </c>
      <c r="D2484" s="24" t="s">
        <v>89</v>
      </c>
      <c r="E2484" s="24"/>
      <c r="F2484" s="24"/>
      <c r="G2484" s="24"/>
      <c r="H2484" s="24"/>
      <c r="I2484" s="24" t="s">
        <v>38</v>
      </c>
      <c r="J2484" s="83" t="s">
        <v>2479</v>
      </c>
      <c r="K2484" s="24"/>
    </row>
    <row r="2485" ht="28.5" outlineLevel="1" spans="1:11">
      <c r="A2485" s="24"/>
      <c r="B2485" s="81" t="str">
        <f t="shared" si="57"/>
        <v>15F3</v>
      </c>
      <c r="C2485" s="106" t="s">
        <v>2942</v>
      </c>
      <c r="D2485" s="24" t="s">
        <v>89</v>
      </c>
      <c r="E2485" s="24"/>
      <c r="F2485" s="24"/>
      <c r="G2485" s="24"/>
      <c r="H2485" s="24"/>
      <c r="I2485" s="24" t="s">
        <v>38</v>
      </c>
      <c r="J2485" s="83" t="s">
        <v>2481</v>
      </c>
      <c r="K2485" s="24"/>
    </row>
    <row r="2486" outlineLevel="1" spans="1:11">
      <c r="A2486" s="24"/>
      <c r="B2486" s="81" t="str">
        <f t="shared" si="57"/>
        <v>15F4</v>
      </c>
      <c r="C2486" s="146" t="s">
        <v>2943</v>
      </c>
      <c r="D2486" s="24" t="s">
        <v>89</v>
      </c>
      <c r="E2486" s="24"/>
      <c r="F2486" s="24"/>
      <c r="G2486" s="24"/>
      <c r="H2486" s="24"/>
      <c r="I2486" s="24" t="s">
        <v>38</v>
      </c>
      <c r="J2486" s="83" t="s">
        <v>2944</v>
      </c>
      <c r="K2486" s="24"/>
    </row>
    <row r="2487" ht="42.75" outlineLevel="1" spans="1:11">
      <c r="A2487" s="24"/>
      <c r="B2487" s="81" t="str">
        <f t="shared" si="57"/>
        <v>15F5</v>
      </c>
      <c r="C2487" s="106" t="s">
        <v>2945</v>
      </c>
      <c r="D2487" s="24" t="s">
        <v>89</v>
      </c>
      <c r="E2487" s="24"/>
      <c r="F2487" s="24"/>
      <c r="G2487" s="24"/>
      <c r="H2487" s="24"/>
      <c r="I2487" s="24" t="s">
        <v>38</v>
      </c>
      <c r="J2487" s="83" t="s">
        <v>2477</v>
      </c>
      <c r="K2487" s="24"/>
    </row>
    <row r="2488" ht="28.5" outlineLevel="1" spans="1:11">
      <c r="A2488" s="24"/>
      <c r="B2488" s="81" t="str">
        <f t="shared" si="57"/>
        <v>15F6</v>
      </c>
      <c r="C2488" s="106" t="s">
        <v>2946</v>
      </c>
      <c r="D2488" s="24" t="s">
        <v>89</v>
      </c>
      <c r="E2488" s="24"/>
      <c r="F2488" s="24"/>
      <c r="G2488" s="24"/>
      <c r="H2488" s="24"/>
      <c r="I2488" s="24" t="s">
        <v>38</v>
      </c>
      <c r="J2488" s="83" t="s">
        <v>2479</v>
      </c>
      <c r="K2488" s="24"/>
    </row>
    <row r="2489" ht="28.5" outlineLevel="1" spans="1:11">
      <c r="A2489" s="24"/>
      <c r="B2489" s="81" t="str">
        <f t="shared" si="57"/>
        <v>15F7</v>
      </c>
      <c r="C2489" s="106" t="s">
        <v>2947</v>
      </c>
      <c r="D2489" s="24" t="s">
        <v>89</v>
      </c>
      <c r="E2489" s="24"/>
      <c r="F2489" s="24"/>
      <c r="G2489" s="24"/>
      <c r="H2489" s="24"/>
      <c r="I2489" s="24" t="s">
        <v>38</v>
      </c>
      <c r="J2489" s="83" t="s">
        <v>2481</v>
      </c>
      <c r="K2489" s="24"/>
    </row>
    <row r="2490" outlineLevel="1" spans="1:11">
      <c r="A2490" s="24"/>
      <c r="B2490" s="81" t="str">
        <f t="shared" si="57"/>
        <v>15F8</v>
      </c>
      <c r="C2490" s="146" t="s">
        <v>2948</v>
      </c>
      <c r="D2490" s="24" t="s">
        <v>89</v>
      </c>
      <c r="E2490" s="24"/>
      <c r="F2490" s="24"/>
      <c r="G2490" s="24"/>
      <c r="H2490" s="24"/>
      <c r="I2490" s="24" t="s">
        <v>38</v>
      </c>
      <c r="J2490" s="83" t="s">
        <v>2949</v>
      </c>
      <c r="K2490" s="24"/>
    </row>
    <row r="2491" ht="42.75" outlineLevel="1" spans="1:11">
      <c r="A2491" s="24"/>
      <c r="B2491" s="81" t="str">
        <f t="shared" si="57"/>
        <v>15F9</v>
      </c>
      <c r="C2491" s="106" t="s">
        <v>2950</v>
      </c>
      <c r="D2491" s="24" t="s">
        <v>89</v>
      </c>
      <c r="E2491" s="24"/>
      <c r="F2491" s="24"/>
      <c r="G2491" s="24"/>
      <c r="H2491" s="24"/>
      <c r="I2491" s="24" t="s">
        <v>38</v>
      </c>
      <c r="J2491" s="83" t="s">
        <v>2477</v>
      </c>
      <c r="K2491" s="24"/>
    </row>
    <row r="2492" ht="28.5" outlineLevel="1" spans="1:11">
      <c r="A2492" s="24"/>
      <c r="B2492" s="81" t="str">
        <f t="shared" si="57"/>
        <v>15FA</v>
      </c>
      <c r="C2492" s="106" t="s">
        <v>2951</v>
      </c>
      <c r="D2492" s="24" t="s">
        <v>89</v>
      </c>
      <c r="E2492" s="24"/>
      <c r="F2492" s="24"/>
      <c r="G2492" s="24"/>
      <c r="H2492" s="24"/>
      <c r="I2492" s="24" t="s">
        <v>38</v>
      </c>
      <c r="J2492" s="83" t="s">
        <v>2479</v>
      </c>
      <c r="K2492" s="24"/>
    </row>
    <row r="2493" ht="28.5" outlineLevel="1" spans="1:11">
      <c r="A2493" s="24"/>
      <c r="B2493" s="81" t="str">
        <f t="shared" si="57"/>
        <v>15FB</v>
      </c>
      <c r="C2493" s="106" t="s">
        <v>2952</v>
      </c>
      <c r="D2493" s="24" t="s">
        <v>89</v>
      </c>
      <c r="E2493" s="24"/>
      <c r="F2493" s="24"/>
      <c r="G2493" s="24"/>
      <c r="H2493" s="24"/>
      <c r="I2493" s="24" t="s">
        <v>38</v>
      </c>
      <c r="J2493" s="83" t="s">
        <v>2481</v>
      </c>
      <c r="K2493" s="24"/>
    </row>
    <row r="2494" outlineLevel="1" spans="1:11">
      <c r="A2494" s="24"/>
      <c r="B2494" s="81" t="str">
        <f t="shared" si="57"/>
        <v>15FC</v>
      </c>
      <c r="C2494" s="146" t="s">
        <v>2953</v>
      </c>
      <c r="D2494" s="24" t="s">
        <v>89</v>
      </c>
      <c r="E2494" s="24"/>
      <c r="F2494" s="24"/>
      <c r="G2494" s="24"/>
      <c r="H2494" s="24"/>
      <c r="I2494" s="24" t="s">
        <v>38</v>
      </c>
      <c r="J2494" s="83" t="s">
        <v>2954</v>
      </c>
      <c r="K2494" s="24"/>
    </row>
    <row r="2495" ht="42.75" outlineLevel="1" spans="1:11">
      <c r="A2495" s="24"/>
      <c r="B2495" s="81" t="str">
        <f t="shared" si="57"/>
        <v>15FD</v>
      </c>
      <c r="C2495" s="106" t="s">
        <v>2955</v>
      </c>
      <c r="D2495" s="24" t="s">
        <v>89</v>
      </c>
      <c r="E2495" s="24"/>
      <c r="F2495" s="24"/>
      <c r="G2495" s="24"/>
      <c r="H2495" s="24"/>
      <c r="I2495" s="24" t="s">
        <v>38</v>
      </c>
      <c r="J2495" s="83" t="s">
        <v>2477</v>
      </c>
      <c r="K2495" s="24"/>
    </row>
    <row r="2496" ht="28.5" outlineLevel="1" spans="1:11">
      <c r="A2496" s="24"/>
      <c r="B2496" s="81" t="str">
        <f t="shared" si="57"/>
        <v>15FE</v>
      </c>
      <c r="C2496" s="106" t="s">
        <v>2956</v>
      </c>
      <c r="D2496" s="24" t="s">
        <v>89</v>
      </c>
      <c r="E2496" s="24"/>
      <c r="F2496" s="24"/>
      <c r="G2496" s="24"/>
      <c r="H2496" s="24"/>
      <c r="I2496" s="24" t="s">
        <v>38</v>
      </c>
      <c r="J2496" s="83" t="s">
        <v>2479</v>
      </c>
      <c r="K2496" s="24"/>
    </row>
    <row r="2497" ht="28.5" outlineLevel="1" spans="1:11">
      <c r="A2497" s="24"/>
      <c r="B2497" s="81" t="str">
        <f t="shared" si="57"/>
        <v>15FF</v>
      </c>
      <c r="C2497" s="106" t="s">
        <v>2957</v>
      </c>
      <c r="D2497" s="24" t="s">
        <v>89</v>
      </c>
      <c r="E2497" s="24"/>
      <c r="F2497" s="24"/>
      <c r="G2497" s="24"/>
      <c r="H2497" s="24"/>
      <c r="I2497" s="24" t="s">
        <v>38</v>
      </c>
      <c r="J2497" s="83" t="s">
        <v>2481</v>
      </c>
      <c r="K2497" s="24"/>
    </row>
    <row r="2498" outlineLevel="1" spans="1:11">
      <c r="A2498" s="24"/>
      <c r="B2498" s="81" t="str">
        <f t="shared" si="57"/>
        <v>1600</v>
      </c>
      <c r="C2498" s="146" t="s">
        <v>2958</v>
      </c>
      <c r="D2498" s="24" t="s">
        <v>89</v>
      </c>
      <c r="E2498" s="24"/>
      <c r="F2498" s="24"/>
      <c r="G2498" s="24"/>
      <c r="H2498" s="24"/>
      <c r="I2498" s="24" t="s">
        <v>38</v>
      </c>
      <c r="J2498" s="83" t="s">
        <v>2959</v>
      </c>
      <c r="K2498" s="24"/>
    </row>
    <row r="2499" ht="42.75" outlineLevel="1" spans="1:11">
      <c r="A2499" s="24"/>
      <c r="B2499" s="81" t="str">
        <f t="shared" si="57"/>
        <v>1601</v>
      </c>
      <c r="C2499" s="106" t="s">
        <v>2960</v>
      </c>
      <c r="D2499" s="24" t="s">
        <v>89</v>
      </c>
      <c r="E2499" s="24"/>
      <c r="F2499" s="24"/>
      <c r="G2499" s="24"/>
      <c r="H2499" s="24"/>
      <c r="I2499" s="24" t="s">
        <v>38</v>
      </c>
      <c r="J2499" s="83" t="s">
        <v>2477</v>
      </c>
      <c r="K2499" s="24"/>
    </row>
    <row r="2500" ht="28.5" outlineLevel="1" spans="1:11">
      <c r="A2500" s="24"/>
      <c r="B2500" s="81" t="str">
        <f t="shared" si="57"/>
        <v>1602</v>
      </c>
      <c r="C2500" s="106" t="s">
        <v>2961</v>
      </c>
      <c r="D2500" s="24" t="s">
        <v>89</v>
      </c>
      <c r="E2500" s="24"/>
      <c r="F2500" s="24"/>
      <c r="G2500" s="24"/>
      <c r="H2500" s="24"/>
      <c r="I2500" s="24" t="s">
        <v>38</v>
      </c>
      <c r="J2500" s="83" t="s">
        <v>2479</v>
      </c>
      <c r="K2500" s="24"/>
    </row>
    <row r="2501" ht="28.5" outlineLevel="1" spans="1:11">
      <c r="A2501" s="24"/>
      <c r="B2501" s="81" t="str">
        <f t="shared" si="57"/>
        <v>1603</v>
      </c>
      <c r="C2501" s="106" t="s">
        <v>2962</v>
      </c>
      <c r="D2501" s="24" t="s">
        <v>89</v>
      </c>
      <c r="E2501" s="24"/>
      <c r="F2501" s="24"/>
      <c r="G2501" s="24"/>
      <c r="H2501" s="24"/>
      <c r="I2501" s="24" t="s">
        <v>38</v>
      </c>
      <c r="J2501" s="83" t="s">
        <v>2481</v>
      </c>
      <c r="K2501" s="24"/>
    </row>
    <row r="2502" outlineLevel="1" spans="1:11">
      <c r="A2502" s="24"/>
      <c r="B2502" s="81" t="str">
        <f t="shared" si="57"/>
        <v>1604</v>
      </c>
      <c r="C2502" s="146" t="s">
        <v>2963</v>
      </c>
      <c r="D2502" s="24" t="s">
        <v>89</v>
      </c>
      <c r="E2502" s="24"/>
      <c r="F2502" s="24"/>
      <c r="G2502" s="24"/>
      <c r="H2502" s="24"/>
      <c r="I2502" s="24" t="s">
        <v>38</v>
      </c>
      <c r="J2502" s="83" t="s">
        <v>2964</v>
      </c>
      <c r="K2502" s="24"/>
    </row>
    <row r="2503" ht="42.75" outlineLevel="1" spans="1:11">
      <c r="A2503" s="24"/>
      <c r="B2503" s="81" t="str">
        <f t="shared" si="57"/>
        <v>1605</v>
      </c>
      <c r="C2503" s="106" t="s">
        <v>2965</v>
      </c>
      <c r="D2503" s="24" t="s">
        <v>89</v>
      </c>
      <c r="E2503" s="24"/>
      <c r="F2503" s="24"/>
      <c r="G2503" s="24"/>
      <c r="H2503" s="24"/>
      <c r="I2503" s="24" t="s">
        <v>38</v>
      </c>
      <c r="J2503" s="83" t="s">
        <v>2477</v>
      </c>
      <c r="K2503" s="24"/>
    </row>
    <row r="2504" ht="28.5" outlineLevel="1" spans="1:11">
      <c r="A2504" s="24"/>
      <c r="B2504" s="81" t="str">
        <f t="shared" si="57"/>
        <v>1606</v>
      </c>
      <c r="C2504" s="106" t="s">
        <v>2966</v>
      </c>
      <c r="D2504" s="24" t="s">
        <v>89</v>
      </c>
      <c r="E2504" s="24"/>
      <c r="F2504" s="24"/>
      <c r="G2504" s="24"/>
      <c r="H2504" s="24"/>
      <c r="I2504" s="24" t="s">
        <v>38</v>
      </c>
      <c r="J2504" s="83" t="s">
        <v>2479</v>
      </c>
      <c r="K2504" s="24"/>
    </row>
    <row r="2505" ht="28.5" outlineLevel="1" spans="1:11">
      <c r="A2505" s="24"/>
      <c r="B2505" s="81" t="str">
        <f t="shared" si="57"/>
        <v>1607</v>
      </c>
      <c r="C2505" s="106" t="s">
        <v>2967</v>
      </c>
      <c r="D2505" s="24" t="s">
        <v>89</v>
      </c>
      <c r="E2505" s="24"/>
      <c r="F2505" s="24"/>
      <c r="G2505" s="24"/>
      <c r="H2505" s="24"/>
      <c r="I2505" s="24" t="s">
        <v>38</v>
      </c>
      <c r="J2505" s="83" t="s">
        <v>2481</v>
      </c>
      <c r="K2505" s="24"/>
    </row>
    <row r="2506" outlineLevel="1" spans="1:11">
      <c r="A2506" s="24"/>
      <c r="B2506" s="81" t="str">
        <f t="shared" si="57"/>
        <v>1608</v>
      </c>
      <c r="C2506" s="146" t="s">
        <v>2968</v>
      </c>
      <c r="D2506" s="24" t="s">
        <v>89</v>
      </c>
      <c r="E2506" s="24"/>
      <c r="F2506" s="24"/>
      <c r="G2506" s="24"/>
      <c r="H2506" s="24"/>
      <c r="I2506" s="24" t="s">
        <v>38</v>
      </c>
      <c r="J2506" s="83" t="s">
        <v>2969</v>
      </c>
      <c r="K2506" s="24"/>
    </row>
    <row r="2507" ht="42.75" outlineLevel="1" spans="1:11">
      <c r="A2507" s="24"/>
      <c r="B2507" s="81" t="str">
        <f t="shared" si="57"/>
        <v>1609</v>
      </c>
      <c r="C2507" s="106" t="s">
        <v>2970</v>
      </c>
      <c r="D2507" s="24" t="s">
        <v>89</v>
      </c>
      <c r="E2507" s="24"/>
      <c r="F2507" s="24"/>
      <c r="G2507" s="24"/>
      <c r="H2507" s="24"/>
      <c r="I2507" s="24" t="s">
        <v>38</v>
      </c>
      <c r="J2507" s="83" t="s">
        <v>2477</v>
      </c>
      <c r="K2507" s="24"/>
    </row>
    <row r="2508" ht="28.5" outlineLevel="1" spans="1:11">
      <c r="A2508" s="24"/>
      <c r="B2508" s="81" t="str">
        <f t="shared" si="57"/>
        <v>160A</v>
      </c>
      <c r="C2508" s="106" t="s">
        <v>2971</v>
      </c>
      <c r="D2508" s="24" t="s">
        <v>89</v>
      </c>
      <c r="E2508" s="24"/>
      <c r="F2508" s="24"/>
      <c r="G2508" s="24"/>
      <c r="H2508" s="24"/>
      <c r="I2508" s="24" t="s">
        <v>38</v>
      </c>
      <c r="J2508" s="83" t="s">
        <v>2479</v>
      </c>
      <c r="K2508" s="24"/>
    </row>
    <row r="2509" ht="28.5" outlineLevel="1" spans="1:11">
      <c r="A2509" s="24"/>
      <c r="B2509" s="81" t="str">
        <f t="shared" si="57"/>
        <v>160B</v>
      </c>
      <c r="C2509" s="106" t="s">
        <v>2972</v>
      </c>
      <c r="D2509" s="24" t="s">
        <v>89</v>
      </c>
      <c r="E2509" s="24"/>
      <c r="F2509" s="24"/>
      <c r="G2509" s="24"/>
      <c r="H2509" s="24"/>
      <c r="I2509" s="24" t="s">
        <v>38</v>
      </c>
      <c r="J2509" s="83" t="s">
        <v>2481</v>
      </c>
      <c r="K2509" s="24"/>
    </row>
    <row r="2510" outlineLevel="1" spans="1:11">
      <c r="A2510" s="24"/>
      <c r="B2510" s="81" t="str">
        <f t="shared" si="57"/>
        <v>160C</v>
      </c>
      <c r="C2510" s="146" t="s">
        <v>2973</v>
      </c>
      <c r="D2510" s="24" t="s">
        <v>89</v>
      </c>
      <c r="E2510" s="24"/>
      <c r="F2510" s="24"/>
      <c r="G2510" s="24"/>
      <c r="H2510" s="24"/>
      <c r="I2510" s="24" t="s">
        <v>38</v>
      </c>
      <c r="J2510" s="83" t="s">
        <v>2974</v>
      </c>
      <c r="K2510" s="24"/>
    </row>
    <row r="2511" ht="42.75" outlineLevel="1" spans="1:11">
      <c r="A2511" s="24"/>
      <c r="B2511" s="81" t="str">
        <f t="shared" si="57"/>
        <v>160D</v>
      </c>
      <c r="C2511" s="106" t="s">
        <v>2975</v>
      </c>
      <c r="D2511" s="24" t="s">
        <v>89</v>
      </c>
      <c r="E2511" s="24"/>
      <c r="F2511" s="24"/>
      <c r="G2511" s="24"/>
      <c r="H2511" s="24"/>
      <c r="I2511" s="24" t="s">
        <v>38</v>
      </c>
      <c r="J2511" s="83" t="s">
        <v>2477</v>
      </c>
      <c r="K2511" s="24"/>
    </row>
    <row r="2512" ht="28.5" outlineLevel="1" spans="1:11">
      <c r="A2512" s="24"/>
      <c r="B2512" s="81" t="str">
        <f t="shared" si="57"/>
        <v>160E</v>
      </c>
      <c r="C2512" s="106" t="s">
        <v>2976</v>
      </c>
      <c r="D2512" s="24" t="s">
        <v>89</v>
      </c>
      <c r="E2512" s="24"/>
      <c r="F2512" s="24"/>
      <c r="G2512" s="24"/>
      <c r="H2512" s="24"/>
      <c r="I2512" s="24" t="s">
        <v>38</v>
      </c>
      <c r="J2512" s="83" t="s">
        <v>2479</v>
      </c>
      <c r="K2512" s="24"/>
    </row>
    <row r="2513" ht="28.5" outlineLevel="1" spans="1:11">
      <c r="A2513" s="24"/>
      <c r="B2513" s="81" t="str">
        <f t="shared" si="57"/>
        <v>160F</v>
      </c>
      <c r="C2513" s="106" t="s">
        <v>2977</v>
      </c>
      <c r="D2513" s="24" t="s">
        <v>89</v>
      </c>
      <c r="E2513" s="24"/>
      <c r="F2513" s="24"/>
      <c r="G2513" s="24"/>
      <c r="H2513" s="24"/>
      <c r="I2513" s="24" t="s">
        <v>38</v>
      </c>
      <c r="J2513" s="83" t="s">
        <v>2481</v>
      </c>
      <c r="K2513" s="24"/>
    </row>
    <row r="2514" outlineLevel="1" spans="1:11">
      <c r="A2514" s="24"/>
      <c r="B2514" s="81" t="str">
        <f t="shared" si="55"/>
        <v>1610</v>
      </c>
      <c r="C2514" s="146" t="s">
        <v>2978</v>
      </c>
      <c r="D2514" s="30" t="s">
        <v>164</v>
      </c>
      <c r="E2514" s="30">
        <v>0.01</v>
      </c>
      <c r="F2514" s="30" t="s">
        <v>755</v>
      </c>
      <c r="G2514" s="30"/>
      <c r="H2514" s="30"/>
      <c r="I2514" s="30" t="s">
        <v>38</v>
      </c>
      <c r="J2514" s="150" t="s">
        <v>2979</v>
      </c>
      <c r="K2514" s="24"/>
    </row>
    <row r="2515" outlineLevel="1" spans="1:11">
      <c r="A2515" s="24"/>
      <c r="B2515" s="81" t="str">
        <f t="shared" si="55"/>
        <v>1611</v>
      </c>
      <c r="C2515" s="149"/>
      <c r="D2515" s="33"/>
      <c r="E2515" s="33"/>
      <c r="F2515" s="33"/>
      <c r="G2515" s="33"/>
      <c r="H2515" s="33"/>
      <c r="I2515" s="33"/>
      <c r="J2515" s="151"/>
      <c r="K2515" s="24"/>
    </row>
    <row r="2516" outlineLevel="1" spans="1:11">
      <c r="A2516" s="24"/>
      <c r="B2516" s="81" t="str">
        <f t="shared" si="55"/>
        <v>1612</v>
      </c>
      <c r="C2516" s="146" t="s">
        <v>2980</v>
      </c>
      <c r="D2516" s="30" t="s">
        <v>164</v>
      </c>
      <c r="E2516" s="30">
        <v>0.01</v>
      </c>
      <c r="F2516" s="30" t="s">
        <v>755</v>
      </c>
      <c r="G2516" s="24"/>
      <c r="H2516" s="24"/>
      <c r="I2516" s="30" t="s">
        <v>38</v>
      </c>
      <c r="J2516" s="150" t="s">
        <v>2981</v>
      </c>
      <c r="K2516" s="24"/>
    </row>
    <row r="2517" outlineLevel="1" spans="1:11">
      <c r="A2517" s="24"/>
      <c r="B2517" s="81" t="str">
        <f t="shared" si="55"/>
        <v>1613</v>
      </c>
      <c r="C2517" s="149"/>
      <c r="D2517" s="33"/>
      <c r="E2517" s="33"/>
      <c r="F2517" s="33"/>
      <c r="G2517" s="24"/>
      <c r="H2517" s="24"/>
      <c r="I2517" s="33"/>
      <c r="J2517" s="151"/>
      <c r="K2517" s="24"/>
    </row>
    <row r="2518" outlineLevel="1" spans="1:11">
      <c r="A2518" s="24"/>
      <c r="B2518" s="81" t="str">
        <f t="shared" si="55"/>
        <v>1614</v>
      </c>
      <c r="C2518" s="146" t="s">
        <v>2982</v>
      </c>
      <c r="D2518" s="30" t="s">
        <v>164</v>
      </c>
      <c r="E2518" s="30">
        <v>0.01</v>
      </c>
      <c r="F2518" s="30" t="s">
        <v>755</v>
      </c>
      <c r="G2518" s="24"/>
      <c r="H2518" s="24"/>
      <c r="I2518" s="30" t="s">
        <v>38</v>
      </c>
      <c r="J2518" s="150" t="s">
        <v>2983</v>
      </c>
      <c r="K2518" s="24"/>
    </row>
    <row r="2519" outlineLevel="1" spans="1:11">
      <c r="A2519" s="24"/>
      <c r="B2519" s="81" t="str">
        <f t="shared" si="55"/>
        <v>1615</v>
      </c>
      <c r="C2519" s="149"/>
      <c r="D2519" s="33"/>
      <c r="E2519" s="33"/>
      <c r="F2519" s="33"/>
      <c r="G2519" s="24"/>
      <c r="H2519" s="24"/>
      <c r="I2519" s="33"/>
      <c r="J2519" s="151"/>
      <c r="K2519" s="24"/>
    </row>
    <row r="2520" outlineLevel="1" spans="1:11">
      <c r="A2520" s="24"/>
      <c r="B2520" s="81" t="str">
        <f t="shared" si="55"/>
        <v>1616</v>
      </c>
      <c r="C2520" s="146" t="s">
        <v>2984</v>
      </c>
      <c r="D2520" s="30" t="s">
        <v>164</v>
      </c>
      <c r="E2520" s="30">
        <v>0.01</v>
      </c>
      <c r="F2520" s="30" t="s">
        <v>755</v>
      </c>
      <c r="G2520" s="24"/>
      <c r="H2520" s="24"/>
      <c r="I2520" s="30" t="s">
        <v>38</v>
      </c>
      <c r="J2520" s="150" t="s">
        <v>2985</v>
      </c>
      <c r="K2520" s="24"/>
    </row>
    <row r="2521" outlineLevel="1" spans="1:11">
      <c r="A2521" s="24"/>
      <c r="B2521" s="81" t="str">
        <f t="shared" si="55"/>
        <v>1617</v>
      </c>
      <c r="C2521" s="149"/>
      <c r="D2521" s="33"/>
      <c r="E2521" s="33"/>
      <c r="F2521" s="33"/>
      <c r="G2521" s="24"/>
      <c r="H2521" s="24"/>
      <c r="I2521" s="33"/>
      <c r="J2521" s="151"/>
      <c r="K2521" s="24"/>
    </row>
    <row r="2522" outlineLevel="1" spans="1:11">
      <c r="A2522" s="24"/>
      <c r="B2522" s="81" t="str">
        <f t="shared" si="55"/>
        <v>1618</v>
      </c>
      <c r="C2522" s="146" t="s">
        <v>2986</v>
      </c>
      <c r="D2522" s="30" t="s">
        <v>164</v>
      </c>
      <c r="E2522" s="30">
        <v>0.01</v>
      </c>
      <c r="F2522" s="30" t="s">
        <v>755</v>
      </c>
      <c r="G2522" s="24"/>
      <c r="H2522" s="24"/>
      <c r="I2522" s="30" t="s">
        <v>38</v>
      </c>
      <c r="J2522" s="150" t="s">
        <v>2987</v>
      </c>
      <c r="K2522" s="24"/>
    </row>
    <row r="2523" outlineLevel="1" spans="1:11">
      <c r="A2523" s="24"/>
      <c r="B2523" s="81" t="str">
        <f t="shared" si="55"/>
        <v>1619</v>
      </c>
      <c r="C2523" s="149"/>
      <c r="D2523" s="33"/>
      <c r="E2523" s="33"/>
      <c r="F2523" s="33"/>
      <c r="G2523" s="24"/>
      <c r="H2523" s="24"/>
      <c r="I2523" s="33"/>
      <c r="J2523" s="151"/>
      <c r="K2523" s="24"/>
    </row>
    <row r="2524" outlineLevel="1" spans="1:11">
      <c r="A2524" s="24"/>
      <c r="B2524" s="81" t="str">
        <f t="shared" si="55"/>
        <v>161A</v>
      </c>
      <c r="C2524" s="146" t="s">
        <v>2988</v>
      </c>
      <c r="D2524" s="30" t="s">
        <v>164</v>
      </c>
      <c r="E2524" s="30">
        <v>0.01</v>
      </c>
      <c r="F2524" s="30" t="s">
        <v>755</v>
      </c>
      <c r="G2524" s="24"/>
      <c r="H2524" s="24"/>
      <c r="I2524" s="30" t="s">
        <v>38</v>
      </c>
      <c r="J2524" s="150" t="s">
        <v>2989</v>
      </c>
      <c r="K2524" s="24"/>
    </row>
    <row r="2525" outlineLevel="1" spans="1:11">
      <c r="A2525" s="24"/>
      <c r="B2525" s="81" t="str">
        <f t="shared" si="55"/>
        <v>161B</v>
      </c>
      <c r="C2525" s="149"/>
      <c r="D2525" s="33"/>
      <c r="E2525" s="33"/>
      <c r="F2525" s="33"/>
      <c r="G2525" s="24"/>
      <c r="H2525" s="24"/>
      <c r="I2525" s="33"/>
      <c r="J2525" s="151"/>
      <c r="K2525" s="24"/>
    </row>
    <row r="2526" outlineLevel="1" spans="1:11">
      <c r="A2526" s="24"/>
      <c r="B2526" s="81" t="str">
        <f t="shared" si="55"/>
        <v>161C</v>
      </c>
      <c r="C2526" s="146" t="s">
        <v>2990</v>
      </c>
      <c r="D2526" s="30" t="s">
        <v>164</v>
      </c>
      <c r="E2526" s="30">
        <v>0.01</v>
      </c>
      <c r="F2526" s="30" t="s">
        <v>755</v>
      </c>
      <c r="G2526" s="24"/>
      <c r="H2526" s="24"/>
      <c r="I2526" s="30" t="s">
        <v>38</v>
      </c>
      <c r="J2526" s="150" t="s">
        <v>2991</v>
      </c>
      <c r="K2526" s="24"/>
    </row>
    <row r="2527" outlineLevel="1" spans="1:11">
      <c r="A2527" s="24"/>
      <c r="B2527" s="81" t="str">
        <f t="shared" si="55"/>
        <v>161D</v>
      </c>
      <c r="C2527" s="149"/>
      <c r="D2527" s="33"/>
      <c r="E2527" s="33"/>
      <c r="F2527" s="33"/>
      <c r="G2527" s="24"/>
      <c r="H2527" s="24"/>
      <c r="I2527" s="33"/>
      <c r="J2527" s="151"/>
      <c r="K2527" s="24"/>
    </row>
    <row r="2528" outlineLevel="1" spans="1:11">
      <c r="A2528" s="24"/>
      <c r="B2528" s="81" t="str">
        <f t="shared" si="55"/>
        <v>161E</v>
      </c>
      <c r="C2528" s="146" t="s">
        <v>2992</v>
      </c>
      <c r="D2528" s="30" t="s">
        <v>164</v>
      </c>
      <c r="E2528" s="30">
        <v>0.01</v>
      </c>
      <c r="F2528" s="30" t="s">
        <v>755</v>
      </c>
      <c r="G2528" s="24"/>
      <c r="H2528" s="24"/>
      <c r="I2528" s="30" t="s">
        <v>38</v>
      </c>
      <c r="J2528" s="150" t="s">
        <v>2993</v>
      </c>
      <c r="K2528" s="24"/>
    </row>
    <row r="2529" outlineLevel="1" spans="1:11">
      <c r="A2529" s="24"/>
      <c r="B2529" s="81" t="str">
        <f t="shared" si="55"/>
        <v>161F</v>
      </c>
      <c r="C2529" s="149"/>
      <c r="D2529" s="33"/>
      <c r="E2529" s="33"/>
      <c r="F2529" s="33"/>
      <c r="G2529" s="24"/>
      <c r="H2529" s="24"/>
      <c r="I2529" s="33"/>
      <c r="J2529" s="151"/>
      <c r="K2529" s="24"/>
    </row>
    <row r="2530" outlineLevel="1" spans="1:11">
      <c r="A2530" s="24"/>
      <c r="B2530" s="81" t="str">
        <f t="shared" si="55"/>
        <v>1620</v>
      </c>
      <c r="C2530" s="146" t="s">
        <v>2994</v>
      </c>
      <c r="D2530" s="30" t="s">
        <v>164</v>
      </c>
      <c r="E2530" s="30">
        <v>0.01</v>
      </c>
      <c r="F2530" s="30" t="s">
        <v>755</v>
      </c>
      <c r="G2530" s="24"/>
      <c r="H2530" s="24"/>
      <c r="I2530" s="30" t="s">
        <v>38</v>
      </c>
      <c r="J2530" s="150" t="s">
        <v>2995</v>
      </c>
      <c r="K2530" s="24"/>
    </row>
    <row r="2531" outlineLevel="1" spans="1:11">
      <c r="A2531" s="24"/>
      <c r="B2531" s="81" t="str">
        <f t="shared" si="55"/>
        <v>1621</v>
      </c>
      <c r="C2531" s="149"/>
      <c r="D2531" s="33"/>
      <c r="E2531" s="33"/>
      <c r="F2531" s="33"/>
      <c r="G2531" s="24"/>
      <c r="H2531" s="24"/>
      <c r="I2531" s="33"/>
      <c r="J2531" s="151"/>
      <c r="K2531" s="24"/>
    </row>
    <row r="2532" outlineLevel="1" spans="1:11">
      <c r="A2532" s="24"/>
      <c r="B2532" s="81" t="str">
        <f t="shared" si="55"/>
        <v>1622</v>
      </c>
      <c r="C2532" s="146" t="s">
        <v>2996</v>
      </c>
      <c r="D2532" s="30" t="s">
        <v>164</v>
      </c>
      <c r="E2532" s="30">
        <v>0.01</v>
      </c>
      <c r="F2532" s="30" t="s">
        <v>755</v>
      </c>
      <c r="G2532" s="24"/>
      <c r="H2532" s="24"/>
      <c r="I2532" s="30" t="s">
        <v>38</v>
      </c>
      <c r="J2532" s="150" t="s">
        <v>2997</v>
      </c>
      <c r="K2532" s="24"/>
    </row>
    <row r="2533" outlineLevel="1" spans="1:11">
      <c r="A2533" s="24"/>
      <c r="B2533" s="81" t="str">
        <f t="shared" si="55"/>
        <v>1623</v>
      </c>
      <c r="C2533" s="149"/>
      <c r="D2533" s="33"/>
      <c r="E2533" s="33"/>
      <c r="F2533" s="33"/>
      <c r="G2533" s="24"/>
      <c r="H2533" s="24"/>
      <c r="I2533" s="33"/>
      <c r="J2533" s="151"/>
      <c r="K2533" s="24"/>
    </row>
    <row r="2534" outlineLevel="1" spans="1:11">
      <c r="A2534" s="24"/>
      <c r="B2534" s="81" t="str">
        <f t="shared" si="55"/>
        <v>1624</v>
      </c>
      <c r="C2534" s="146" t="s">
        <v>2998</v>
      </c>
      <c r="D2534" s="30" t="s">
        <v>164</v>
      </c>
      <c r="E2534" s="30">
        <v>0.01</v>
      </c>
      <c r="F2534" s="30" t="s">
        <v>755</v>
      </c>
      <c r="G2534" s="24"/>
      <c r="H2534" s="24"/>
      <c r="I2534" s="30" t="s">
        <v>38</v>
      </c>
      <c r="J2534" s="150" t="s">
        <v>2999</v>
      </c>
      <c r="K2534" s="24"/>
    </row>
    <row r="2535" outlineLevel="1" spans="1:11">
      <c r="A2535" s="24"/>
      <c r="B2535" s="81" t="str">
        <f t="shared" si="55"/>
        <v>1625</v>
      </c>
      <c r="C2535" s="149"/>
      <c r="D2535" s="33"/>
      <c r="E2535" s="33"/>
      <c r="F2535" s="33"/>
      <c r="G2535" s="24"/>
      <c r="H2535" s="24"/>
      <c r="I2535" s="33"/>
      <c r="J2535" s="151"/>
      <c r="K2535" s="24"/>
    </row>
    <row r="2536" outlineLevel="1" spans="1:11">
      <c r="A2536" s="24"/>
      <c r="B2536" s="81" t="str">
        <f t="shared" si="55"/>
        <v>1626</v>
      </c>
      <c r="C2536" s="146" t="s">
        <v>3000</v>
      </c>
      <c r="D2536" s="30" t="s">
        <v>164</v>
      </c>
      <c r="E2536" s="30">
        <v>0.01</v>
      </c>
      <c r="F2536" s="30" t="s">
        <v>755</v>
      </c>
      <c r="G2536" s="24"/>
      <c r="H2536" s="24"/>
      <c r="I2536" s="30" t="s">
        <v>38</v>
      </c>
      <c r="J2536" s="150" t="s">
        <v>3001</v>
      </c>
      <c r="K2536" s="24"/>
    </row>
    <row r="2537" outlineLevel="1" spans="1:11">
      <c r="A2537" s="24"/>
      <c r="B2537" s="81" t="str">
        <f t="shared" si="55"/>
        <v>1627</v>
      </c>
      <c r="C2537" s="149"/>
      <c r="D2537" s="33"/>
      <c r="E2537" s="33"/>
      <c r="F2537" s="33"/>
      <c r="G2537" s="24"/>
      <c r="H2537" s="24"/>
      <c r="I2537" s="33"/>
      <c r="J2537" s="151"/>
      <c r="K2537" s="24"/>
    </row>
    <row r="2538" outlineLevel="1" spans="1:11">
      <c r="A2538" s="24"/>
      <c r="B2538" s="81" t="str">
        <f t="shared" si="55"/>
        <v>1628</v>
      </c>
      <c r="C2538" s="146" t="s">
        <v>3002</v>
      </c>
      <c r="D2538" s="30" t="s">
        <v>164</v>
      </c>
      <c r="E2538" s="30">
        <v>0.01</v>
      </c>
      <c r="F2538" s="30" t="s">
        <v>755</v>
      </c>
      <c r="G2538" s="24"/>
      <c r="H2538" s="24"/>
      <c r="I2538" s="30" t="s">
        <v>38</v>
      </c>
      <c r="J2538" s="150" t="s">
        <v>3003</v>
      </c>
      <c r="K2538" s="24"/>
    </row>
    <row r="2539" outlineLevel="1" spans="1:11">
      <c r="A2539" s="24"/>
      <c r="B2539" s="81" t="str">
        <f t="shared" si="55"/>
        <v>1629</v>
      </c>
      <c r="C2539" s="149"/>
      <c r="D2539" s="33"/>
      <c r="E2539" s="33"/>
      <c r="F2539" s="33"/>
      <c r="G2539" s="24"/>
      <c r="H2539" s="24"/>
      <c r="I2539" s="33"/>
      <c r="J2539" s="151"/>
      <c r="K2539" s="24"/>
    </row>
    <row r="2540" outlineLevel="1" spans="1:11">
      <c r="A2540" s="24"/>
      <c r="B2540" s="81" t="str">
        <f t="shared" si="55"/>
        <v>162A</v>
      </c>
      <c r="C2540" s="146" t="s">
        <v>3004</v>
      </c>
      <c r="D2540" s="30" t="s">
        <v>164</v>
      </c>
      <c r="E2540" s="30">
        <v>0.01</v>
      </c>
      <c r="F2540" s="30" t="s">
        <v>755</v>
      </c>
      <c r="G2540" s="24"/>
      <c r="H2540" s="24"/>
      <c r="I2540" s="30" t="s">
        <v>38</v>
      </c>
      <c r="J2540" s="150" t="s">
        <v>3005</v>
      </c>
      <c r="K2540" s="24"/>
    </row>
    <row r="2541" outlineLevel="1" spans="1:11">
      <c r="A2541" s="24"/>
      <c r="B2541" s="81" t="str">
        <f t="shared" si="55"/>
        <v>162B</v>
      </c>
      <c r="C2541" s="149"/>
      <c r="D2541" s="33"/>
      <c r="E2541" s="33"/>
      <c r="F2541" s="33"/>
      <c r="G2541" s="24"/>
      <c r="H2541" s="24"/>
      <c r="I2541" s="33"/>
      <c r="J2541" s="151"/>
      <c r="K2541" s="24"/>
    </row>
    <row r="2542" outlineLevel="1" spans="1:11">
      <c r="A2542" s="24"/>
      <c r="B2542" s="81" t="str">
        <f t="shared" si="55"/>
        <v>162C</v>
      </c>
      <c r="C2542" s="146" t="s">
        <v>3006</v>
      </c>
      <c r="D2542" s="30" t="s">
        <v>164</v>
      </c>
      <c r="E2542" s="30">
        <v>0.01</v>
      </c>
      <c r="F2542" s="30" t="s">
        <v>755</v>
      </c>
      <c r="G2542" s="24"/>
      <c r="H2542" s="24"/>
      <c r="I2542" s="30" t="s">
        <v>38</v>
      </c>
      <c r="J2542" s="150" t="s">
        <v>3007</v>
      </c>
      <c r="K2542" s="24"/>
    </row>
    <row r="2543" outlineLevel="1" spans="1:11">
      <c r="A2543" s="24"/>
      <c r="B2543" s="81" t="str">
        <f t="shared" si="55"/>
        <v>162D</v>
      </c>
      <c r="C2543" s="149"/>
      <c r="D2543" s="33"/>
      <c r="E2543" s="33"/>
      <c r="F2543" s="33"/>
      <c r="G2543" s="24"/>
      <c r="H2543" s="24"/>
      <c r="I2543" s="33"/>
      <c r="J2543" s="151"/>
      <c r="K2543" s="24"/>
    </row>
    <row r="2544" outlineLevel="1" spans="1:11">
      <c r="A2544" s="24"/>
      <c r="B2544" s="81" t="str">
        <f t="shared" si="55"/>
        <v>162E</v>
      </c>
      <c r="C2544" s="146" t="s">
        <v>3008</v>
      </c>
      <c r="D2544" s="30" t="s">
        <v>164</v>
      </c>
      <c r="E2544" s="30">
        <v>0.01</v>
      </c>
      <c r="F2544" s="30" t="s">
        <v>755</v>
      </c>
      <c r="G2544" s="24"/>
      <c r="H2544" s="24"/>
      <c r="I2544" s="30" t="s">
        <v>38</v>
      </c>
      <c r="J2544" s="150" t="s">
        <v>3009</v>
      </c>
      <c r="K2544" s="24"/>
    </row>
    <row r="2545" outlineLevel="1" spans="1:11">
      <c r="A2545" s="24"/>
      <c r="B2545" s="81" t="str">
        <f t="shared" si="55"/>
        <v>162F</v>
      </c>
      <c r="C2545" s="149"/>
      <c r="D2545" s="33"/>
      <c r="E2545" s="33"/>
      <c r="F2545" s="33"/>
      <c r="G2545" s="24"/>
      <c r="H2545" s="24"/>
      <c r="I2545" s="33"/>
      <c r="J2545" s="151"/>
      <c r="K2545" s="24"/>
    </row>
    <row r="2546" outlineLevel="1" spans="1:11">
      <c r="A2546" s="24"/>
      <c r="B2546" s="81" t="str">
        <f t="shared" si="55"/>
        <v>1630</v>
      </c>
      <c r="C2546" s="146" t="s">
        <v>3010</v>
      </c>
      <c r="D2546" s="30" t="s">
        <v>164</v>
      </c>
      <c r="E2546" s="30">
        <v>0.01</v>
      </c>
      <c r="F2546" s="30" t="s">
        <v>755</v>
      </c>
      <c r="G2546" s="24"/>
      <c r="H2546" s="24"/>
      <c r="I2546" s="30" t="s">
        <v>38</v>
      </c>
      <c r="J2546" s="150" t="s">
        <v>3011</v>
      </c>
      <c r="K2546" s="24"/>
    </row>
    <row r="2547" outlineLevel="1" spans="1:11">
      <c r="A2547" s="24"/>
      <c r="B2547" s="81" t="str">
        <f t="shared" si="55"/>
        <v>1631</v>
      </c>
      <c r="C2547" s="149"/>
      <c r="D2547" s="33"/>
      <c r="E2547" s="33"/>
      <c r="F2547" s="33"/>
      <c r="G2547" s="24"/>
      <c r="H2547" s="24"/>
      <c r="I2547" s="33"/>
      <c r="J2547" s="151"/>
      <c r="K2547" s="24"/>
    </row>
    <row r="2548" outlineLevel="1" spans="1:11">
      <c r="A2548" s="24"/>
      <c r="B2548" s="81" t="str">
        <f t="shared" si="55"/>
        <v>1632</v>
      </c>
      <c r="C2548" s="146" t="s">
        <v>3012</v>
      </c>
      <c r="D2548" s="30" t="s">
        <v>164</v>
      </c>
      <c r="E2548" s="30">
        <v>0.01</v>
      </c>
      <c r="F2548" s="30" t="s">
        <v>755</v>
      </c>
      <c r="G2548" s="24"/>
      <c r="H2548" s="24"/>
      <c r="I2548" s="30" t="s">
        <v>38</v>
      </c>
      <c r="J2548" s="150" t="s">
        <v>3013</v>
      </c>
      <c r="K2548" s="24"/>
    </row>
    <row r="2549" outlineLevel="1" spans="1:11">
      <c r="A2549" s="24"/>
      <c r="B2549" s="81" t="str">
        <f t="shared" si="55"/>
        <v>1633</v>
      </c>
      <c r="C2549" s="149"/>
      <c r="D2549" s="33"/>
      <c r="E2549" s="33"/>
      <c r="F2549" s="33"/>
      <c r="G2549" s="24"/>
      <c r="H2549" s="24"/>
      <c r="I2549" s="33"/>
      <c r="J2549" s="151"/>
      <c r="K2549" s="24"/>
    </row>
    <row r="2550" outlineLevel="1" spans="1:11">
      <c r="A2550" s="24"/>
      <c r="B2550" s="81" t="str">
        <f t="shared" si="55"/>
        <v>1634</v>
      </c>
      <c r="C2550" s="146" t="s">
        <v>3014</v>
      </c>
      <c r="D2550" s="30" t="s">
        <v>164</v>
      </c>
      <c r="E2550" s="30">
        <v>0.01</v>
      </c>
      <c r="F2550" s="30" t="s">
        <v>755</v>
      </c>
      <c r="G2550" s="24"/>
      <c r="H2550" s="24"/>
      <c r="I2550" s="30" t="s">
        <v>38</v>
      </c>
      <c r="J2550" s="150" t="s">
        <v>3015</v>
      </c>
      <c r="K2550" s="24"/>
    </row>
    <row r="2551" outlineLevel="1" spans="1:11">
      <c r="A2551" s="24"/>
      <c r="B2551" s="81" t="str">
        <f t="shared" si="55"/>
        <v>1635</v>
      </c>
      <c r="C2551" s="149"/>
      <c r="D2551" s="33"/>
      <c r="E2551" s="33"/>
      <c r="F2551" s="33"/>
      <c r="G2551" s="24"/>
      <c r="H2551" s="24"/>
      <c r="I2551" s="33"/>
      <c r="J2551" s="151"/>
      <c r="K2551" s="24"/>
    </row>
    <row r="2552" outlineLevel="1" spans="1:11">
      <c r="A2552" s="24"/>
      <c r="B2552" s="81" t="str">
        <f t="shared" si="55"/>
        <v>1636</v>
      </c>
      <c r="C2552" s="146" t="s">
        <v>3016</v>
      </c>
      <c r="D2552" s="30" t="s">
        <v>164</v>
      </c>
      <c r="E2552" s="30">
        <v>0.01</v>
      </c>
      <c r="F2552" s="30" t="s">
        <v>755</v>
      </c>
      <c r="G2552" s="24"/>
      <c r="H2552" s="24"/>
      <c r="I2552" s="30" t="s">
        <v>38</v>
      </c>
      <c r="J2552" s="150" t="s">
        <v>3017</v>
      </c>
      <c r="K2552" s="24"/>
    </row>
    <row r="2553" outlineLevel="1" spans="1:11">
      <c r="A2553" s="24"/>
      <c r="B2553" s="81" t="str">
        <f t="shared" si="55"/>
        <v>1637</v>
      </c>
      <c r="C2553" s="149"/>
      <c r="D2553" s="33"/>
      <c r="E2553" s="33"/>
      <c r="F2553" s="33"/>
      <c r="G2553" s="24"/>
      <c r="H2553" s="24"/>
      <c r="I2553" s="33"/>
      <c r="J2553" s="151"/>
      <c r="K2553" s="24"/>
    </row>
    <row r="2554" outlineLevel="1" spans="1:11">
      <c r="A2554" s="24"/>
      <c r="B2554" s="81" t="str">
        <f t="shared" si="55"/>
        <v>1638</v>
      </c>
      <c r="C2554" s="146" t="s">
        <v>3018</v>
      </c>
      <c r="D2554" s="30" t="s">
        <v>164</v>
      </c>
      <c r="E2554" s="30">
        <v>0.01</v>
      </c>
      <c r="F2554" s="30" t="s">
        <v>755</v>
      </c>
      <c r="G2554" s="24"/>
      <c r="H2554" s="24"/>
      <c r="I2554" s="30" t="s">
        <v>38</v>
      </c>
      <c r="J2554" s="150" t="s">
        <v>3019</v>
      </c>
      <c r="K2554" s="24"/>
    </row>
    <row r="2555" outlineLevel="1" spans="1:11">
      <c r="A2555" s="24"/>
      <c r="B2555" s="81" t="str">
        <f t="shared" si="55"/>
        <v>1639</v>
      </c>
      <c r="C2555" s="149"/>
      <c r="D2555" s="33"/>
      <c r="E2555" s="33"/>
      <c r="F2555" s="33"/>
      <c r="G2555" s="24"/>
      <c r="H2555" s="24"/>
      <c r="I2555" s="33"/>
      <c r="J2555" s="151"/>
      <c r="K2555" s="24"/>
    </row>
    <row r="2556" outlineLevel="1" spans="1:11">
      <c r="A2556" s="24"/>
      <c r="B2556" s="81" t="str">
        <f t="shared" si="55"/>
        <v>163A</v>
      </c>
      <c r="C2556" s="146" t="s">
        <v>3020</v>
      </c>
      <c r="D2556" s="30" t="s">
        <v>164</v>
      </c>
      <c r="E2556" s="30">
        <v>0.01</v>
      </c>
      <c r="F2556" s="30" t="s">
        <v>755</v>
      </c>
      <c r="G2556" s="24"/>
      <c r="H2556" s="24"/>
      <c r="I2556" s="30" t="s">
        <v>38</v>
      </c>
      <c r="J2556" s="150" t="s">
        <v>3021</v>
      </c>
      <c r="K2556" s="24"/>
    </row>
    <row r="2557" outlineLevel="1" spans="1:11">
      <c r="A2557" s="24"/>
      <c r="B2557" s="81" t="str">
        <f t="shared" si="55"/>
        <v>163B</v>
      </c>
      <c r="C2557" s="149"/>
      <c r="D2557" s="33"/>
      <c r="E2557" s="33"/>
      <c r="F2557" s="33"/>
      <c r="G2557" s="24"/>
      <c r="H2557" s="24"/>
      <c r="I2557" s="33"/>
      <c r="J2557" s="151"/>
      <c r="K2557" s="24"/>
    </row>
    <row r="2558" outlineLevel="1" spans="1:11">
      <c r="A2558" s="24"/>
      <c r="B2558" s="81" t="str">
        <f t="shared" si="55"/>
        <v>163C</v>
      </c>
      <c r="C2558" s="146" t="s">
        <v>3022</v>
      </c>
      <c r="D2558" s="30" t="s">
        <v>164</v>
      </c>
      <c r="E2558" s="30">
        <v>0.01</v>
      </c>
      <c r="F2558" s="30" t="s">
        <v>755</v>
      </c>
      <c r="G2558" s="24"/>
      <c r="H2558" s="24"/>
      <c r="I2558" s="30" t="s">
        <v>38</v>
      </c>
      <c r="J2558" s="150" t="s">
        <v>3023</v>
      </c>
      <c r="K2558" s="24"/>
    </row>
    <row r="2559" outlineLevel="1" spans="1:11">
      <c r="A2559" s="24"/>
      <c r="B2559" s="81" t="str">
        <f t="shared" ref="B2559:B2593" si="58">DEC2HEX(4928+ROW()-ROW($B$1794),4)</f>
        <v>163D</v>
      </c>
      <c r="C2559" s="149"/>
      <c r="D2559" s="33"/>
      <c r="E2559" s="33"/>
      <c r="F2559" s="33"/>
      <c r="G2559" s="24"/>
      <c r="H2559" s="24"/>
      <c r="I2559" s="33"/>
      <c r="J2559" s="151"/>
      <c r="K2559" s="24"/>
    </row>
    <row r="2560" outlineLevel="1" spans="1:11">
      <c r="A2560" s="24"/>
      <c r="B2560" s="81" t="str">
        <f t="shared" si="58"/>
        <v>163E</v>
      </c>
      <c r="C2560" s="146" t="s">
        <v>3024</v>
      </c>
      <c r="D2560" s="30" t="s">
        <v>164</v>
      </c>
      <c r="E2560" s="30">
        <v>0.01</v>
      </c>
      <c r="F2560" s="30" t="s">
        <v>755</v>
      </c>
      <c r="G2560" s="24"/>
      <c r="H2560" s="24"/>
      <c r="I2560" s="30" t="s">
        <v>38</v>
      </c>
      <c r="J2560" s="150" t="s">
        <v>3025</v>
      </c>
      <c r="K2560" s="24"/>
    </row>
    <row r="2561" outlineLevel="1" spans="1:11">
      <c r="A2561" s="24"/>
      <c r="B2561" s="81" t="str">
        <f t="shared" si="58"/>
        <v>163F</v>
      </c>
      <c r="C2561" s="149"/>
      <c r="D2561" s="33"/>
      <c r="E2561" s="33"/>
      <c r="F2561" s="33"/>
      <c r="G2561" s="24"/>
      <c r="H2561" s="24"/>
      <c r="I2561" s="33"/>
      <c r="J2561" s="151"/>
      <c r="K2561" s="24"/>
    </row>
    <row r="2562" outlineLevel="1" spans="1:11">
      <c r="A2562" s="24"/>
      <c r="B2562" s="81" t="str">
        <f t="shared" si="58"/>
        <v>1640</v>
      </c>
      <c r="C2562" s="146" t="s">
        <v>3026</v>
      </c>
      <c r="D2562" s="30" t="s">
        <v>164</v>
      </c>
      <c r="E2562" s="30">
        <v>0.01</v>
      </c>
      <c r="F2562" s="30" t="s">
        <v>755</v>
      </c>
      <c r="G2562" s="24"/>
      <c r="H2562" s="24"/>
      <c r="I2562" s="30" t="s">
        <v>38</v>
      </c>
      <c r="J2562" s="150" t="s">
        <v>3027</v>
      </c>
      <c r="K2562" s="24"/>
    </row>
    <row r="2563" outlineLevel="1" spans="1:11">
      <c r="A2563" s="24"/>
      <c r="B2563" s="81" t="str">
        <f t="shared" si="58"/>
        <v>1641</v>
      </c>
      <c r="C2563" s="149"/>
      <c r="D2563" s="33"/>
      <c r="E2563" s="33"/>
      <c r="F2563" s="33"/>
      <c r="G2563" s="24"/>
      <c r="H2563" s="24"/>
      <c r="I2563" s="33"/>
      <c r="J2563" s="151"/>
      <c r="K2563" s="24"/>
    </row>
    <row r="2564" outlineLevel="1" spans="1:11">
      <c r="A2564" s="24"/>
      <c r="B2564" s="81" t="str">
        <f t="shared" si="58"/>
        <v>1642</v>
      </c>
      <c r="C2564" s="146" t="s">
        <v>3028</v>
      </c>
      <c r="D2564" s="30" t="s">
        <v>164</v>
      </c>
      <c r="E2564" s="30">
        <v>0.01</v>
      </c>
      <c r="F2564" s="30" t="s">
        <v>755</v>
      </c>
      <c r="G2564" s="24"/>
      <c r="H2564" s="24"/>
      <c r="I2564" s="30" t="s">
        <v>38</v>
      </c>
      <c r="J2564" s="150" t="s">
        <v>3029</v>
      </c>
      <c r="K2564" s="24"/>
    </row>
    <row r="2565" outlineLevel="1" spans="1:11">
      <c r="A2565" s="24"/>
      <c r="B2565" s="81" t="str">
        <f t="shared" si="58"/>
        <v>1643</v>
      </c>
      <c r="C2565" s="149"/>
      <c r="D2565" s="33"/>
      <c r="E2565" s="33"/>
      <c r="F2565" s="33"/>
      <c r="G2565" s="24"/>
      <c r="H2565" s="24"/>
      <c r="I2565" s="33"/>
      <c r="J2565" s="151"/>
      <c r="K2565" s="24"/>
    </row>
    <row r="2566" outlineLevel="1" spans="1:11">
      <c r="A2566" s="24"/>
      <c r="B2566" s="81" t="str">
        <f t="shared" si="58"/>
        <v>1644</v>
      </c>
      <c r="C2566" s="146" t="s">
        <v>3030</v>
      </c>
      <c r="D2566" s="30" t="s">
        <v>164</v>
      </c>
      <c r="E2566" s="30">
        <v>0.01</v>
      </c>
      <c r="F2566" s="30" t="s">
        <v>755</v>
      </c>
      <c r="G2566" s="24"/>
      <c r="H2566" s="24"/>
      <c r="I2566" s="30" t="s">
        <v>38</v>
      </c>
      <c r="J2566" s="150" t="s">
        <v>3031</v>
      </c>
      <c r="K2566" s="24"/>
    </row>
    <row r="2567" outlineLevel="1" spans="1:11">
      <c r="A2567" s="24"/>
      <c r="B2567" s="81" t="str">
        <f t="shared" si="58"/>
        <v>1645</v>
      </c>
      <c r="C2567" s="149"/>
      <c r="D2567" s="33"/>
      <c r="E2567" s="33"/>
      <c r="F2567" s="33"/>
      <c r="G2567" s="24"/>
      <c r="H2567" s="24"/>
      <c r="I2567" s="33"/>
      <c r="J2567" s="151"/>
      <c r="K2567" s="24"/>
    </row>
    <row r="2568" outlineLevel="1" spans="1:11">
      <c r="A2568" s="24"/>
      <c r="B2568" s="81" t="str">
        <f t="shared" si="58"/>
        <v>1646</v>
      </c>
      <c r="C2568" s="146" t="s">
        <v>3032</v>
      </c>
      <c r="D2568" s="30" t="s">
        <v>164</v>
      </c>
      <c r="E2568" s="30">
        <v>0.01</v>
      </c>
      <c r="F2568" s="30" t="s">
        <v>755</v>
      </c>
      <c r="G2568" s="24"/>
      <c r="H2568" s="24"/>
      <c r="I2568" s="30" t="s">
        <v>38</v>
      </c>
      <c r="J2568" s="150" t="s">
        <v>3033</v>
      </c>
      <c r="K2568" s="24"/>
    </row>
    <row r="2569" outlineLevel="1" spans="1:11">
      <c r="A2569" s="24"/>
      <c r="B2569" s="81" t="str">
        <f t="shared" si="58"/>
        <v>1647</v>
      </c>
      <c r="C2569" s="149"/>
      <c r="D2569" s="33"/>
      <c r="E2569" s="33"/>
      <c r="F2569" s="33"/>
      <c r="G2569" s="24"/>
      <c r="H2569" s="24"/>
      <c r="I2569" s="33"/>
      <c r="J2569" s="151"/>
      <c r="K2569" s="24"/>
    </row>
    <row r="2570" outlineLevel="1" spans="1:11">
      <c r="A2570" s="24"/>
      <c r="B2570" s="81" t="str">
        <f t="shared" si="58"/>
        <v>1648</v>
      </c>
      <c r="C2570" s="146" t="s">
        <v>3034</v>
      </c>
      <c r="D2570" s="30" t="s">
        <v>164</v>
      </c>
      <c r="E2570" s="30">
        <v>0.01</v>
      </c>
      <c r="F2570" s="30" t="s">
        <v>755</v>
      </c>
      <c r="G2570" s="24"/>
      <c r="H2570" s="24"/>
      <c r="I2570" s="30" t="s">
        <v>38</v>
      </c>
      <c r="J2570" s="150" t="s">
        <v>3035</v>
      </c>
      <c r="K2570" s="24"/>
    </row>
    <row r="2571" outlineLevel="1" spans="1:11">
      <c r="A2571" s="24"/>
      <c r="B2571" s="81" t="str">
        <f t="shared" si="58"/>
        <v>1649</v>
      </c>
      <c r="C2571" s="149"/>
      <c r="D2571" s="33"/>
      <c r="E2571" s="33"/>
      <c r="F2571" s="33"/>
      <c r="G2571" s="24"/>
      <c r="H2571" s="24"/>
      <c r="I2571" s="33"/>
      <c r="J2571" s="151"/>
      <c r="K2571" s="24"/>
    </row>
    <row r="2572" outlineLevel="1" spans="1:11">
      <c r="A2572" s="24"/>
      <c r="B2572" s="81" t="str">
        <f t="shared" si="58"/>
        <v>164A</v>
      </c>
      <c r="C2572" s="146" t="s">
        <v>3036</v>
      </c>
      <c r="D2572" s="30" t="s">
        <v>164</v>
      </c>
      <c r="E2572" s="30">
        <v>0.01</v>
      </c>
      <c r="F2572" s="30" t="s">
        <v>755</v>
      </c>
      <c r="G2572" s="24"/>
      <c r="H2572" s="24"/>
      <c r="I2572" s="30" t="s">
        <v>38</v>
      </c>
      <c r="J2572" s="150" t="s">
        <v>3037</v>
      </c>
      <c r="K2572" s="24"/>
    </row>
    <row r="2573" outlineLevel="1" spans="1:11">
      <c r="A2573" s="24"/>
      <c r="B2573" s="81" t="str">
        <f t="shared" si="58"/>
        <v>164B</v>
      </c>
      <c r="C2573" s="149"/>
      <c r="D2573" s="33"/>
      <c r="E2573" s="33"/>
      <c r="F2573" s="33"/>
      <c r="G2573" s="24"/>
      <c r="H2573" s="24"/>
      <c r="I2573" s="33"/>
      <c r="J2573" s="151"/>
      <c r="K2573" s="24"/>
    </row>
    <row r="2574" outlineLevel="1" spans="1:11">
      <c r="A2574" s="24"/>
      <c r="B2574" s="81" t="str">
        <f t="shared" si="58"/>
        <v>164C</v>
      </c>
      <c r="C2574" s="146" t="s">
        <v>3038</v>
      </c>
      <c r="D2574" s="30" t="s">
        <v>164</v>
      </c>
      <c r="E2574" s="30">
        <v>0.01</v>
      </c>
      <c r="F2574" s="30" t="s">
        <v>755</v>
      </c>
      <c r="G2574" s="24"/>
      <c r="H2574" s="24"/>
      <c r="I2574" s="30" t="s">
        <v>38</v>
      </c>
      <c r="J2574" s="150" t="s">
        <v>3039</v>
      </c>
      <c r="K2574" s="24"/>
    </row>
    <row r="2575" outlineLevel="1" spans="1:11">
      <c r="A2575" s="24"/>
      <c r="B2575" s="81" t="str">
        <f t="shared" si="58"/>
        <v>164D</v>
      </c>
      <c r="C2575" s="149"/>
      <c r="D2575" s="33"/>
      <c r="E2575" s="33"/>
      <c r="F2575" s="33"/>
      <c r="G2575" s="24"/>
      <c r="H2575" s="24"/>
      <c r="I2575" s="33"/>
      <c r="J2575" s="151"/>
      <c r="K2575" s="24"/>
    </row>
    <row r="2576" outlineLevel="1" spans="1:11">
      <c r="A2576" s="24"/>
      <c r="B2576" s="81" t="str">
        <f t="shared" si="58"/>
        <v>164E</v>
      </c>
      <c r="C2576" s="146" t="s">
        <v>3040</v>
      </c>
      <c r="D2576" s="30" t="s">
        <v>164</v>
      </c>
      <c r="E2576" s="30">
        <v>0.01</v>
      </c>
      <c r="F2576" s="30" t="s">
        <v>755</v>
      </c>
      <c r="G2576" s="24"/>
      <c r="H2576" s="24"/>
      <c r="I2576" s="30" t="s">
        <v>38</v>
      </c>
      <c r="J2576" s="150" t="s">
        <v>3041</v>
      </c>
      <c r="K2576" s="24"/>
    </row>
    <row r="2577" outlineLevel="1" spans="1:11">
      <c r="A2577" s="24"/>
      <c r="B2577" s="81" t="str">
        <f t="shared" si="58"/>
        <v>164F</v>
      </c>
      <c r="C2577" s="149"/>
      <c r="D2577" s="33"/>
      <c r="E2577" s="33"/>
      <c r="F2577" s="33"/>
      <c r="G2577" s="24"/>
      <c r="H2577" s="24"/>
      <c r="I2577" s="33"/>
      <c r="J2577" s="151"/>
      <c r="K2577" s="24"/>
    </row>
    <row r="2578" outlineLevel="1" spans="1:11">
      <c r="A2578" s="24"/>
      <c r="B2578" s="81" t="str">
        <f t="shared" si="58"/>
        <v>1650</v>
      </c>
      <c r="C2578" s="146" t="s">
        <v>3042</v>
      </c>
      <c r="D2578" s="30" t="s">
        <v>164</v>
      </c>
      <c r="E2578" s="30">
        <v>0.01</v>
      </c>
      <c r="F2578" s="30" t="s">
        <v>755</v>
      </c>
      <c r="G2578" s="24"/>
      <c r="H2578" s="24"/>
      <c r="I2578" s="30" t="s">
        <v>38</v>
      </c>
      <c r="J2578" s="150" t="s">
        <v>3043</v>
      </c>
      <c r="K2578" s="24"/>
    </row>
    <row r="2579" outlineLevel="1" spans="1:11">
      <c r="A2579" s="24"/>
      <c r="B2579" s="81" t="str">
        <f t="shared" si="58"/>
        <v>1651</v>
      </c>
      <c r="C2579" s="149"/>
      <c r="D2579" s="33"/>
      <c r="E2579" s="33"/>
      <c r="F2579" s="33"/>
      <c r="G2579" s="24"/>
      <c r="H2579" s="24"/>
      <c r="I2579" s="33"/>
      <c r="J2579" s="151"/>
      <c r="K2579" s="24"/>
    </row>
    <row r="2580" outlineLevel="1" spans="1:11">
      <c r="A2580" s="24"/>
      <c r="B2580" s="81" t="str">
        <f t="shared" si="58"/>
        <v>1652</v>
      </c>
      <c r="C2580" s="146" t="s">
        <v>3044</v>
      </c>
      <c r="D2580" s="30" t="s">
        <v>164</v>
      </c>
      <c r="E2580" s="30">
        <v>0.01</v>
      </c>
      <c r="F2580" s="30" t="s">
        <v>755</v>
      </c>
      <c r="G2580" s="24"/>
      <c r="H2580" s="24"/>
      <c r="I2580" s="30" t="s">
        <v>38</v>
      </c>
      <c r="J2580" s="150" t="s">
        <v>3045</v>
      </c>
      <c r="K2580" s="24"/>
    </row>
    <row r="2581" outlineLevel="1" spans="1:11">
      <c r="A2581" s="24"/>
      <c r="B2581" s="81" t="str">
        <f t="shared" si="58"/>
        <v>1653</v>
      </c>
      <c r="C2581" s="149"/>
      <c r="D2581" s="33"/>
      <c r="E2581" s="33"/>
      <c r="F2581" s="33"/>
      <c r="G2581" s="24"/>
      <c r="H2581" s="24"/>
      <c r="I2581" s="33"/>
      <c r="J2581" s="151"/>
      <c r="K2581" s="24"/>
    </row>
    <row r="2582" outlineLevel="1" spans="1:11">
      <c r="A2582" s="24"/>
      <c r="B2582" s="81" t="str">
        <f t="shared" si="58"/>
        <v>1654</v>
      </c>
      <c r="C2582" s="146" t="s">
        <v>3046</v>
      </c>
      <c r="D2582" s="30" t="s">
        <v>164</v>
      </c>
      <c r="E2582" s="30">
        <v>0.01</v>
      </c>
      <c r="F2582" s="30" t="s">
        <v>755</v>
      </c>
      <c r="G2582" s="24"/>
      <c r="H2582" s="24"/>
      <c r="I2582" s="30" t="s">
        <v>38</v>
      </c>
      <c r="J2582" s="150" t="s">
        <v>3047</v>
      </c>
      <c r="K2582" s="24"/>
    </row>
    <row r="2583" outlineLevel="1" spans="1:11">
      <c r="A2583" s="24"/>
      <c r="B2583" s="81" t="str">
        <f t="shared" si="58"/>
        <v>1655</v>
      </c>
      <c r="C2583" s="149"/>
      <c r="D2583" s="33"/>
      <c r="E2583" s="33"/>
      <c r="F2583" s="33"/>
      <c r="G2583" s="24"/>
      <c r="H2583" s="24"/>
      <c r="I2583" s="33"/>
      <c r="J2583" s="151"/>
      <c r="K2583" s="24"/>
    </row>
    <row r="2584" outlineLevel="1" spans="1:11">
      <c r="A2584" s="24"/>
      <c r="B2584" s="81" t="str">
        <f t="shared" si="58"/>
        <v>1656</v>
      </c>
      <c r="C2584" s="146" t="s">
        <v>3048</v>
      </c>
      <c r="D2584" s="30" t="s">
        <v>164</v>
      </c>
      <c r="E2584" s="30">
        <v>0.01</v>
      </c>
      <c r="F2584" s="30" t="s">
        <v>755</v>
      </c>
      <c r="G2584" s="24"/>
      <c r="H2584" s="24"/>
      <c r="I2584" s="30" t="s">
        <v>38</v>
      </c>
      <c r="J2584" s="150" t="s">
        <v>3049</v>
      </c>
      <c r="K2584" s="24"/>
    </row>
    <row r="2585" outlineLevel="1" spans="1:11">
      <c r="A2585" s="24"/>
      <c r="B2585" s="81" t="str">
        <f t="shared" si="58"/>
        <v>1657</v>
      </c>
      <c r="C2585" s="149"/>
      <c r="D2585" s="33"/>
      <c r="E2585" s="33"/>
      <c r="F2585" s="33"/>
      <c r="G2585" s="24"/>
      <c r="H2585" s="24"/>
      <c r="I2585" s="33"/>
      <c r="J2585" s="151"/>
      <c r="K2585" s="24"/>
    </row>
    <row r="2586" outlineLevel="1" spans="1:11">
      <c r="A2586" s="24"/>
      <c r="B2586" s="81" t="str">
        <f t="shared" si="58"/>
        <v>1658</v>
      </c>
      <c r="C2586" s="146" t="s">
        <v>3050</v>
      </c>
      <c r="D2586" s="30" t="s">
        <v>164</v>
      </c>
      <c r="E2586" s="30">
        <v>0.01</v>
      </c>
      <c r="F2586" s="30" t="s">
        <v>755</v>
      </c>
      <c r="G2586" s="24"/>
      <c r="H2586" s="24"/>
      <c r="I2586" s="30" t="s">
        <v>38</v>
      </c>
      <c r="J2586" s="150" t="s">
        <v>3051</v>
      </c>
      <c r="K2586" s="24"/>
    </row>
    <row r="2587" outlineLevel="1" spans="1:11">
      <c r="A2587" s="24"/>
      <c r="B2587" s="81" t="str">
        <f t="shared" si="58"/>
        <v>1659</v>
      </c>
      <c r="C2587" s="149"/>
      <c r="D2587" s="33"/>
      <c r="E2587" s="33"/>
      <c r="F2587" s="33"/>
      <c r="G2587" s="24"/>
      <c r="H2587" s="24"/>
      <c r="I2587" s="33"/>
      <c r="J2587" s="151"/>
      <c r="K2587" s="24"/>
    </row>
    <row r="2588" outlineLevel="1" spans="1:11">
      <c r="A2588" s="24"/>
      <c r="B2588" s="81" t="str">
        <f t="shared" si="58"/>
        <v>165A</v>
      </c>
      <c r="C2588" s="146" t="s">
        <v>3052</v>
      </c>
      <c r="D2588" s="30" t="s">
        <v>164</v>
      </c>
      <c r="E2588" s="30">
        <v>0.01</v>
      </c>
      <c r="F2588" s="30" t="s">
        <v>755</v>
      </c>
      <c r="G2588" s="24"/>
      <c r="H2588" s="24"/>
      <c r="I2588" s="30" t="s">
        <v>38</v>
      </c>
      <c r="J2588" s="150" t="s">
        <v>3053</v>
      </c>
      <c r="K2588" s="24"/>
    </row>
    <row r="2589" outlineLevel="1" spans="1:11">
      <c r="A2589" s="24"/>
      <c r="B2589" s="81" t="str">
        <f t="shared" si="58"/>
        <v>165B</v>
      </c>
      <c r="C2589" s="149"/>
      <c r="D2589" s="33"/>
      <c r="E2589" s="33"/>
      <c r="F2589" s="33"/>
      <c r="G2589" s="24"/>
      <c r="H2589" s="24"/>
      <c r="I2589" s="33"/>
      <c r="J2589" s="151"/>
      <c r="K2589" s="24"/>
    </row>
    <row r="2590" outlineLevel="1" spans="1:11">
      <c r="A2590" s="24"/>
      <c r="B2590" s="81" t="str">
        <f t="shared" si="58"/>
        <v>165C</v>
      </c>
      <c r="C2590" s="146" t="s">
        <v>3054</v>
      </c>
      <c r="D2590" s="30" t="s">
        <v>164</v>
      </c>
      <c r="E2590" s="30">
        <v>0.01</v>
      </c>
      <c r="F2590" s="30" t="s">
        <v>755</v>
      </c>
      <c r="G2590" s="24"/>
      <c r="H2590" s="24"/>
      <c r="I2590" s="30" t="s">
        <v>38</v>
      </c>
      <c r="J2590" s="150" t="s">
        <v>3055</v>
      </c>
      <c r="K2590" s="24"/>
    </row>
    <row r="2591" outlineLevel="1" spans="1:11">
      <c r="A2591" s="24"/>
      <c r="B2591" s="81" t="str">
        <f t="shared" si="58"/>
        <v>165D</v>
      </c>
      <c r="C2591" s="149"/>
      <c r="D2591" s="33"/>
      <c r="E2591" s="33"/>
      <c r="F2591" s="33"/>
      <c r="G2591" s="24"/>
      <c r="H2591" s="24"/>
      <c r="I2591" s="33"/>
      <c r="J2591" s="151"/>
      <c r="K2591" s="24"/>
    </row>
    <row r="2592" outlineLevel="1" spans="1:11">
      <c r="A2592" s="24"/>
      <c r="B2592" s="81" t="str">
        <f t="shared" si="58"/>
        <v>165E</v>
      </c>
      <c r="C2592" s="146" t="s">
        <v>3056</v>
      </c>
      <c r="D2592" s="30" t="s">
        <v>164</v>
      </c>
      <c r="E2592" s="30">
        <v>0.01</v>
      </c>
      <c r="F2592" s="30" t="s">
        <v>755</v>
      </c>
      <c r="G2592" s="24"/>
      <c r="H2592" s="24"/>
      <c r="I2592" s="30" t="s">
        <v>38</v>
      </c>
      <c r="J2592" s="150" t="s">
        <v>3057</v>
      </c>
      <c r="K2592" s="24"/>
    </row>
    <row r="2593" outlineLevel="1" spans="1:11">
      <c r="A2593" s="24"/>
      <c r="B2593" s="81" t="str">
        <f t="shared" si="58"/>
        <v>165F</v>
      </c>
      <c r="C2593" s="149"/>
      <c r="D2593" s="33"/>
      <c r="E2593" s="33"/>
      <c r="F2593" s="33"/>
      <c r="G2593" s="24"/>
      <c r="H2593" s="24"/>
      <c r="I2593" s="33"/>
      <c r="J2593" s="151"/>
      <c r="K2593" s="24"/>
    </row>
    <row r="2594" outlineLevel="1" spans="1:11">
      <c r="A2594" s="24"/>
      <c r="B2594" s="81"/>
      <c r="C2594" s="69"/>
      <c r="D2594" s="24"/>
      <c r="E2594" s="24"/>
      <c r="F2594" s="24"/>
      <c r="G2594" s="24"/>
      <c r="H2594" s="24"/>
      <c r="I2594" s="24"/>
      <c r="J2594" s="69"/>
      <c r="K2594" s="24"/>
    </row>
    <row r="2595" outlineLevel="1" spans="1:11">
      <c r="A2595" s="24"/>
      <c r="B2595" s="81"/>
      <c r="C2595" s="69"/>
      <c r="D2595" s="24"/>
      <c r="E2595" s="24"/>
      <c r="F2595" s="24"/>
      <c r="G2595" s="24"/>
      <c r="H2595" s="24"/>
      <c r="I2595" s="24"/>
      <c r="J2595" s="69"/>
      <c r="K2595" s="24"/>
    </row>
    <row r="2596" outlineLevel="1" spans="1:11">
      <c r="A2596" s="24"/>
      <c r="B2596" s="81"/>
      <c r="C2596" s="69"/>
      <c r="D2596" s="24"/>
      <c r="E2596" s="24"/>
      <c r="F2596" s="24"/>
      <c r="G2596" s="24"/>
      <c r="H2596" s="24"/>
      <c r="I2596" s="24"/>
      <c r="J2596" s="69"/>
      <c r="K2596" s="24"/>
    </row>
    <row r="2597" outlineLevel="1" spans="1:11">
      <c r="A2597" s="24"/>
      <c r="B2597" s="81"/>
      <c r="C2597" s="69"/>
      <c r="D2597" s="24"/>
      <c r="E2597" s="24"/>
      <c r="F2597" s="24"/>
      <c r="G2597" s="24"/>
      <c r="H2597" s="24"/>
      <c r="I2597" s="24"/>
      <c r="J2597" s="69"/>
      <c r="K2597" s="24"/>
    </row>
    <row r="2598" outlineLevel="1" spans="1:11">
      <c r="A2598" s="24"/>
      <c r="B2598" s="81"/>
      <c r="C2598" s="69"/>
      <c r="D2598" s="24"/>
      <c r="E2598" s="24"/>
      <c r="F2598" s="24"/>
      <c r="G2598" s="24"/>
      <c r="H2598" s="24"/>
      <c r="I2598" s="24"/>
      <c r="J2598" s="69"/>
      <c r="K2598" s="24"/>
    </row>
    <row r="2599" outlineLevel="1" spans="1:11">
      <c r="A2599" s="24"/>
      <c r="B2599" s="81"/>
      <c r="C2599" s="69"/>
      <c r="D2599" s="24"/>
      <c r="E2599" s="24"/>
      <c r="F2599" s="24"/>
      <c r="G2599" s="24"/>
      <c r="H2599" s="24"/>
      <c r="I2599" s="24"/>
      <c r="J2599" s="69"/>
      <c r="K2599" s="24"/>
    </row>
    <row r="2600" outlineLevel="1" spans="1:11">
      <c r="A2600" s="24"/>
      <c r="B2600" s="81"/>
      <c r="C2600" s="69"/>
      <c r="D2600" s="24"/>
      <c r="E2600" s="24"/>
      <c r="F2600" s="24"/>
      <c r="G2600" s="24"/>
      <c r="H2600" s="24"/>
      <c r="I2600" s="24"/>
      <c r="J2600" s="69"/>
      <c r="K2600" s="24"/>
    </row>
    <row r="2601" outlineLevel="1" spans="1:11">
      <c r="A2601" s="24"/>
      <c r="B2601" s="81"/>
      <c r="C2601" s="69"/>
      <c r="D2601" s="24"/>
      <c r="E2601" s="24"/>
      <c r="F2601" s="24"/>
      <c r="G2601" s="24"/>
      <c r="H2601" s="24"/>
      <c r="I2601" s="24"/>
      <c r="J2601" s="69"/>
      <c r="K2601" s="24"/>
    </row>
    <row r="2602" outlineLevel="1" spans="1:11">
      <c r="A2602" s="24"/>
      <c r="B2602" s="81"/>
      <c r="C2602" s="69"/>
      <c r="D2602" s="24"/>
      <c r="E2602" s="24"/>
      <c r="F2602" s="24"/>
      <c r="G2602" s="24"/>
      <c r="H2602" s="24"/>
      <c r="I2602" s="24"/>
      <c r="J2602" s="69"/>
      <c r="K2602" s="24"/>
    </row>
    <row r="2603" outlineLevel="1" spans="1:11">
      <c r="A2603" s="24"/>
      <c r="B2603" s="81"/>
      <c r="C2603" s="69"/>
      <c r="D2603" s="24"/>
      <c r="E2603" s="24"/>
      <c r="F2603" s="24"/>
      <c r="G2603" s="24"/>
      <c r="H2603" s="24"/>
      <c r="I2603" s="24"/>
      <c r="J2603" s="69"/>
      <c r="K2603" s="24"/>
    </row>
    <row r="2604" outlineLevel="1" spans="1:11">
      <c r="A2604" s="24"/>
      <c r="B2604" s="81"/>
      <c r="C2604" s="69"/>
      <c r="D2604" s="24"/>
      <c r="E2604" s="24"/>
      <c r="F2604" s="24"/>
      <c r="G2604" s="24"/>
      <c r="H2604" s="24"/>
      <c r="I2604" s="24"/>
      <c r="J2604" s="69"/>
      <c r="K2604" s="24"/>
    </row>
    <row r="2605" outlineLevel="1" spans="1:11">
      <c r="A2605" s="24"/>
      <c r="B2605" s="81"/>
      <c r="C2605" s="69"/>
      <c r="D2605" s="24"/>
      <c r="E2605" s="24"/>
      <c r="F2605" s="24"/>
      <c r="G2605" s="24"/>
      <c r="H2605" s="24"/>
      <c r="I2605" s="24"/>
      <c r="J2605" s="69"/>
      <c r="K2605" s="24"/>
    </row>
    <row r="2606" outlineLevel="1" spans="1:11">
      <c r="A2606" s="24"/>
      <c r="B2606" s="81"/>
      <c r="C2606" s="69"/>
      <c r="D2606" s="24"/>
      <c r="E2606" s="24"/>
      <c r="F2606" s="24"/>
      <c r="G2606" s="24"/>
      <c r="H2606" s="24"/>
      <c r="I2606" s="24"/>
      <c r="J2606" s="69"/>
      <c r="K2606" s="24"/>
    </row>
    <row r="2607" outlineLevel="1" spans="1:11">
      <c r="A2607" s="24"/>
      <c r="B2607" s="81"/>
      <c r="C2607" s="69"/>
      <c r="D2607" s="24"/>
      <c r="E2607" s="24"/>
      <c r="F2607" s="24"/>
      <c r="G2607" s="24"/>
      <c r="H2607" s="24"/>
      <c r="I2607" s="24"/>
      <c r="J2607" s="69"/>
      <c r="K2607" s="24"/>
    </row>
    <row r="2608" outlineLevel="1" spans="1:11">
      <c r="A2608" s="24"/>
      <c r="B2608" s="81"/>
      <c r="C2608" s="69"/>
      <c r="D2608" s="24"/>
      <c r="E2608" s="24"/>
      <c r="F2608" s="24"/>
      <c r="G2608" s="24"/>
      <c r="H2608" s="24"/>
      <c r="I2608" s="24"/>
      <c r="J2608" s="69"/>
      <c r="K2608" s="24"/>
    </row>
    <row r="2609" outlineLevel="1" spans="1:11">
      <c r="A2609" s="24"/>
      <c r="B2609" s="81"/>
      <c r="C2609" s="69"/>
      <c r="D2609" s="24"/>
      <c r="E2609" s="24"/>
      <c r="F2609" s="24"/>
      <c r="G2609" s="24"/>
      <c r="H2609" s="24"/>
      <c r="I2609" s="24"/>
      <c r="J2609" s="69"/>
      <c r="K2609" s="24"/>
    </row>
    <row r="2610" outlineLevel="1" spans="1:11">
      <c r="A2610" s="24"/>
      <c r="B2610" s="81"/>
      <c r="C2610" s="69"/>
      <c r="D2610" s="24"/>
      <c r="E2610" s="24"/>
      <c r="F2610" s="24"/>
      <c r="G2610" s="24"/>
      <c r="H2610" s="24"/>
      <c r="I2610" s="24"/>
      <c r="J2610" s="69"/>
      <c r="K2610" s="24"/>
    </row>
    <row r="2611" outlineLevel="1" spans="1:11">
      <c r="A2611" s="24"/>
      <c r="B2611" s="81"/>
      <c r="C2611" s="69"/>
      <c r="D2611" s="24"/>
      <c r="E2611" s="24"/>
      <c r="F2611" s="24"/>
      <c r="G2611" s="24"/>
      <c r="H2611" s="24"/>
      <c r="I2611" s="24"/>
      <c r="J2611" s="69"/>
      <c r="K2611" s="24"/>
    </row>
    <row r="2612" outlineLevel="1" spans="1:11">
      <c r="A2612" s="24"/>
      <c r="B2612" s="81"/>
      <c r="C2612" s="69"/>
      <c r="D2612" s="24"/>
      <c r="E2612" s="24"/>
      <c r="F2612" s="24"/>
      <c r="G2612" s="24"/>
      <c r="H2612" s="24"/>
      <c r="I2612" s="24"/>
      <c r="J2612" s="69"/>
      <c r="K2612" s="24"/>
    </row>
    <row r="2613" outlineLevel="1" spans="1:11">
      <c r="A2613" s="24"/>
      <c r="B2613" s="81"/>
      <c r="C2613" s="69"/>
      <c r="D2613" s="24"/>
      <c r="E2613" s="24"/>
      <c r="F2613" s="24"/>
      <c r="G2613" s="24"/>
      <c r="H2613" s="24"/>
      <c r="I2613" s="24"/>
      <c r="J2613" s="69"/>
      <c r="K2613" s="24"/>
    </row>
    <row r="2614" outlineLevel="1" spans="1:11">
      <c r="A2614" s="24"/>
      <c r="B2614" s="81"/>
      <c r="C2614" s="69"/>
      <c r="D2614" s="24"/>
      <c r="E2614" s="24"/>
      <c r="F2614" s="24"/>
      <c r="G2614" s="24"/>
      <c r="H2614" s="24"/>
      <c r="I2614" s="24"/>
      <c r="J2614" s="69"/>
      <c r="K2614" s="24"/>
    </row>
    <row r="2615" outlineLevel="1" spans="1:11">
      <c r="A2615" s="24"/>
      <c r="B2615" s="81"/>
      <c r="C2615" s="69"/>
      <c r="D2615" s="24"/>
      <c r="E2615" s="24"/>
      <c r="F2615" s="24"/>
      <c r="G2615" s="24"/>
      <c r="H2615" s="24"/>
      <c r="I2615" s="24"/>
      <c r="J2615" s="69"/>
      <c r="K2615" s="24"/>
    </row>
    <row r="2616" outlineLevel="1" spans="1:11">
      <c r="A2616" s="24"/>
      <c r="B2616" s="81"/>
      <c r="C2616" s="69"/>
      <c r="D2616" s="24"/>
      <c r="E2616" s="24"/>
      <c r="F2616" s="24"/>
      <c r="G2616" s="24"/>
      <c r="H2616" s="24"/>
      <c r="I2616" s="24"/>
      <c r="J2616" s="69"/>
      <c r="K2616" s="24"/>
    </row>
    <row r="2617" outlineLevel="1" spans="1:11">
      <c r="A2617" s="24"/>
      <c r="B2617" s="81"/>
      <c r="C2617" s="69"/>
      <c r="D2617" s="24"/>
      <c r="E2617" s="24"/>
      <c r="F2617" s="24"/>
      <c r="G2617" s="24"/>
      <c r="H2617" s="24"/>
      <c r="I2617" s="24"/>
      <c r="J2617" s="69"/>
      <c r="K2617" s="24"/>
    </row>
    <row r="2618" outlineLevel="1" spans="1:11">
      <c r="A2618" s="24"/>
      <c r="B2618" s="81"/>
      <c r="C2618" s="75"/>
      <c r="D2618" s="24"/>
      <c r="E2618" s="24"/>
      <c r="F2618" s="24"/>
      <c r="G2618" s="24"/>
      <c r="H2618" s="24"/>
      <c r="I2618" s="24"/>
      <c r="J2618" s="75"/>
      <c r="K2618" s="24"/>
    </row>
    <row r="2619" outlineLevel="1" spans="1:11">
      <c r="A2619" s="24"/>
      <c r="B2619" s="81"/>
      <c r="C2619" s="75"/>
      <c r="D2619" s="24"/>
      <c r="E2619" s="24"/>
      <c r="F2619" s="24"/>
      <c r="G2619" s="24"/>
      <c r="H2619" s="24"/>
      <c r="I2619" s="24"/>
      <c r="J2619" s="75"/>
      <c r="K2619" s="24"/>
    </row>
    <row r="2620" outlineLevel="1" spans="1:11">
      <c r="A2620" s="24"/>
      <c r="B2620" s="81"/>
      <c r="C2620" s="75"/>
      <c r="D2620" s="24"/>
      <c r="E2620" s="24"/>
      <c r="F2620" s="24"/>
      <c r="G2620" s="24"/>
      <c r="H2620" s="24"/>
      <c r="I2620" s="24"/>
      <c r="J2620" s="75"/>
      <c r="K2620" s="24"/>
    </row>
    <row r="2621" outlineLevel="1" spans="1:11">
      <c r="A2621" s="24"/>
      <c r="B2621" s="81"/>
      <c r="C2621" s="75"/>
      <c r="D2621" s="24"/>
      <c r="E2621" s="24"/>
      <c r="F2621" s="24"/>
      <c r="G2621" s="24"/>
      <c r="H2621" s="24"/>
      <c r="I2621" s="24"/>
      <c r="J2621" s="67"/>
      <c r="K2621" s="24"/>
    </row>
    <row r="2622" outlineLevel="1" spans="1:11">
      <c r="A2622" s="24"/>
      <c r="B2622" s="81"/>
      <c r="C2622" s="75"/>
      <c r="D2622" s="24"/>
      <c r="E2622" s="24"/>
      <c r="F2622" s="24"/>
      <c r="G2622" s="24"/>
      <c r="H2622" s="24"/>
      <c r="I2622" s="24"/>
      <c r="J2622" s="67"/>
      <c r="K2622" s="24"/>
    </row>
    <row r="2623" spans="1:11">
      <c r="A2623" s="24"/>
      <c r="B2623" s="81"/>
      <c r="C2623" s="67"/>
      <c r="D2623" s="24"/>
      <c r="E2623" s="24"/>
      <c r="F2623" s="24"/>
      <c r="G2623" s="24"/>
      <c r="H2623" s="24"/>
      <c r="I2623" s="24"/>
      <c r="J2623" s="67"/>
      <c r="K2623" s="24"/>
    </row>
    <row r="2624" spans="1:11">
      <c r="A2624" s="152" t="s">
        <v>3058</v>
      </c>
      <c r="B2624" s="152"/>
      <c r="C2624" s="152"/>
      <c r="D2624" s="152"/>
      <c r="E2624" s="152"/>
      <c r="F2624" s="152"/>
      <c r="G2624" s="152"/>
      <c r="H2624" s="152"/>
      <c r="I2624" s="152"/>
      <c r="J2624" s="152"/>
      <c r="K2624" s="152"/>
    </row>
    <row r="2625" s="47" customFormat="1" outlineLevel="1" spans="1:11">
      <c r="A2625" s="59"/>
      <c r="B2625" s="60" t="str">
        <f>DEC2HEX(8192+ROW()-ROW($B$2625),4)</f>
        <v>2000</v>
      </c>
      <c r="C2625" s="63" t="s">
        <v>3059</v>
      </c>
      <c r="D2625" s="59" t="s">
        <v>59</v>
      </c>
      <c r="E2625" s="59"/>
      <c r="F2625" s="59"/>
      <c r="G2625" s="59"/>
      <c r="H2625" s="59"/>
      <c r="I2625" s="59" t="s">
        <v>38</v>
      </c>
      <c r="J2625" s="63" t="s">
        <v>279</v>
      </c>
      <c r="K2625" s="59"/>
    </row>
    <row r="2626" s="47" customFormat="1" outlineLevel="1" spans="1:11">
      <c r="A2626" s="59"/>
      <c r="B2626" s="60" t="str">
        <f t="shared" ref="B2626:B2688" si="59">DEC2HEX(8192+ROW()-ROW($B$2625),4)</f>
        <v>2001</v>
      </c>
      <c r="C2626" s="63"/>
      <c r="D2626" s="59"/>
      <c r="E2626" s="59"/>
      <c r="F2626" s="59"/>
      <c r="G2626" s="59"/>
      <c r="H2626" s="59"/>
      <c r="I2626" s="59"/>
      <c r="J2626" s="63"/>
      <c r="K2626" s="59"/>
    </row>
    <row r="2627" s="47" customFormat="1" outlineLevel="1" spans="1:11">
      <c r="A2627" s="59"/>
      <c r="B2627" s="60" t="str">
        <f t="shared" si="59"/>
        <v>2002</v>
      </c>
      <c r="C2627" s="63"/>
      <c r="D2627" s="59"/>
      <c r="E2627" s="59"/>
      <c r="F2627" s="59"/>
      <c r="G2627" s="59"/>
      <c r="H2627" s="59"/>
      <c r="I2627" s="59"/>
      <c r="J2627" s="63"/>
      <c r="K2627" s="59"/>
    </row>
    <row r="2628" s="47" customFormat="1" ht="54" customHeight="1" outlineLevel="1" spans="1:11">
      <c r="A2628" s="59"/>
      <c r="B2628" s="60" t="str">
        <f t="shared" si="59"/>
        <v>2003</v>
      </c>
      <c r="C2628" s="63"/>
      <c r="D2628" s="59"/>
      <c r="E2628" s="59"/>
      <c r="F2628" s="59"/>
      <c r="G2628" s="59"/>
      <c r="H2628" s="59"/>
      <c r="I2628" s="59"/>
      <c r="J2628" s="63"/>
      <c r="K2628" s="59"/>
    </row>
    <row r="2629" outlineLevel="1" spans="1:11">
      <c r="A2629" s="24"/>
      <c r="B2629" s="60" t="str">
        <f t="shared" si="59"/>
        <v>2004</v>
      </c>
      <c r="C2629" s="67" t="s">
        <v>3060</v>
      </c>
      <c r="D2629" s="24" t="s">
        <v>89</v>
      </c>
      <c r="E2629" s="24"/>
      <c r="F2629" s="24"/>
      <c r="G2629" s="24"/>
      <c r="H2629" s="24"/>
      <c r="I2629" s="24" t="s">
        <v>1070</v>
      </c>
      <c r="J2629" s="72" t="s">
        <v>3061</v>
      </c>
      <c r="K2629" s="24"/>
    </row>
    <row r="2630" ht="28.5" outlineLevel="1" spans="1:11">
      <c r="A2630" s="24"/>
      <c r="B2630" s="60" t="str">
        <f t="shared" si="59"/>
        <v>2005</v>
      </c>
      <c r="C2630" s="67" t="s">
        <v>3062</v>
      </c>
      <c r="D2630" s="24" t="s">
        <v>89</v>
      </c>
      <c r="E2630" s="24"/>
      <c r="F2630" s="24"/>
      <c r="G2630" s="24"/>
      <c r="H2630" s="24"/>
      <c r="I2630" s="24" t="s">
        <v>1070</v>
      </c>
      <c r="J2630" s="72" t="s">
        <v>3063</v>
      </c>
      <c r="K2630" s="24"/>
    </row>
    <row r="2631" ht="299.25" outlineLevel="1" spans="1:11">
      <c r="A2631" s="24"/>
      <c r="B2631" s="60" t="str">
        <f t="shared" si="59"/>
        <v>2006</v>
      </c>
      <c r="C2631" s="67" t="s">
        <v>3064</v>
      </c>
      <c r="D2631" s="24" t="s">
        <v>89</v>
      </c>
      <c r="E2631" s="24"/>
      <c r="F2631" s="24"/>
      <c r="G2631" s="24">
        <v>1</v>
      </c>
      <c r="H2631" s="24">
        <v>255</v>
      </c>
      <c r="I2631" s="24" t="s">
        <v>1070</v>
      </c>
      <c r="J2631" s="72" t="s">
        <v>3065</v>
      </c>
      <c r="K2631" s="24"/>
    </row>
    <row r="2632" ht="85.5" outlineLevel="1" spans="1:11">
      <c r="A2632" s="24"/>
      <c r="B2632" s="60" t="str">
        <f t="shared" si="59"/>
        <v>2007</v>
      </c>
      <c r="C2632" s="67" t="s">
        <v>3066</v>
      </c>
      <c r="D2632" s="24" t="s">
        <v>66</v>
      </c>
      <c r="E2632" s="24"/>
      <c r="F2632" s="24"/>
      <c r="G2632" s="24"/>
      <c r="H2632" s="24"/>
      <c r="I2632" s="24" t="s">
        <v>1070</v>
      </c>
      <c r="J2632" s="72" t="s">
        <v>3067</v>
      </c>
      <c r="K2632" s="24"/>
    </row>
    <row r="2633" ht="85.5" outlineLevel="1" spans="1:11">
      <c r="A2633" s="24"/>
      <c r="B2633" s="60" t="str">
        <f t="shared" si="59"/>
        <v>2008</v>
      </c>
      <c r="C2633" s="67" t="s">
        <v>3068</v>
      </c>
      <c r="D2633" s="24" t="s">
        <v>66</v>
      </c>
      <c r="E2633" s="24"/>
      <c r="F2633" s="24"/>
      <c r="G2633" s="24"/>
      <c r="H2633" s="24"/>
      <c r="I2633" s="24" t="s">
        <v>1070</v>
      </c>
      <c r="J2633" s="72" t="s">
        <v>3069</v>
      </c>
      <c r="K2633" s="24"/>
    </row>
    <row r="2634" ht="85.5" outlineLevel="1" spans="1:11">
      <c r="A2634" s="24"/>
      <c r="B2634" s="60" t="str">
        <f t="shared" si="59"/>
        <v>2009</v>
      </c>
      <c r="C2634" s="67" t="s">
        <v>3070</v>
      </c>
      <c r="D2634" s="24" t="s">
        <v>66</v>
      </c>
      <c r="E2634" s="24"/>
      <c r="F2634" s="24"/>
      <c r="G2634" s="24"/>
      <c r="H2634" s="24"/>
      <c r="I2634" s="24" t="s">
        <v>1070</v>
      </c>
      <c r="J2634" s="72" t="s">
        <v>3071</v>
      </c>
      <c r="K2634" s="24"/>
    </row>
    <row r="2635" ht="85.5" outlineLevel="1" spans="1:11">
      <c r="A2635" s="24"/>
      <c r="B2635" s="60" t="str">
        <f t="shared" si="59"/>
        <v>200A</v>
      </c>
      <c r="C2635" s="67" t="s">
        <v>3072</v>
      </c>
      <c r="D2635" s="24" t="s">
        <v>66</v>
      </c>
      <c r="E2635" s="24"/>
      <c r="F2635" s="24"/>
      <c r="G2635" s="24"/>
      <c r="H2635" s="24"/>
      <c r="I2635" s="24" t="s">
        <v>1070</v>
      </c>
      <c r="J2635" s="72" t="s">
        <v>3073</v>
      </c>
      <c r="K2635" s="24"/>
    </row>
    <row r="2636" ht="85.5" outlineLevel="1" spans="1:11">
      <c r="A2636" s="24"/>
      <c r="B2636" s="60" t="str">
        <f t="shared" si="59"/>
        <v>200B</v>
      </c>
      <c r="C2636" s="67" t="s">
        <v>3074</v>
      </c>
      <c r="D2636" s="24" t="s">
        <v>66</v>
      </c>
      <c r="E2636" s="24"/>
      <c r="F2636" s="24"/>
      <c r="G2636" s="24"/>
      <c r="H2636" s="24"/>
      <c r="I2636" s="24" t="s">
        <v>1070</v>
      </c>
      <c r="J2636" s="72" t="s">
        <v>3075</v>
      </c>
      <c r="K2636" s="24"/>
    </row>
    <row r="2637" outlineLevel="1" spans="1:11">
      <c r="A2637" s="24"/>
      <c r="B2637" s="60" t="str">
        <f t="shared" si="59"/>
        <v>200C</v>
      </c>
      <c r="C2637" s="67"/>
      <c r="D2637" s="24"/>
      <c r="E2637" s="24"/>
      <c r="F2637" s="24"/>
      <c r="G2637" s="24"/>
      <c r="H2637" s="24"/>
      <c r="I2637" s="24"/>
      <c r="J2637" s="67"/>
      <c r="K2637" s="24"/>
    </row>
    <row r="2638" outlineLevel="1" spans="1:11">
      <c r="A2638" s="24"/>
      <c r="B2638" s="60" t="str">
        <f t="shared" si="59"/>
        <v>200D</v>
      </c>
      <c r="C2638" s="67"/>
      <c r="D2638" s="24"/>
      <c r="E2638" s="24"/>
      <c r="F2638" s="24"/>
      <c r="G2638" s="24"/>
      <c r="H2638" s="24"/>
      <c r="I2638" s="24"/>
      <c r="J2638" s="67"/>
      <c r="K2638" s="24"/>
    </row>
    <row r="2639" outlineLevel="1" spans="1:11">
      <c r="A2639" s="24"/>
      <c r="B2639" s="60" t="str">
        <f t="shared" si="59"/>
        <v>200E</v>
      </c>
      <c r="C2639" s="67"/>
      <c r="D2639" s="24"/>
      <c r="E2639" s="24"/>
      <c r="F2639" s="24"/>
      <c r="G2639" s="24"/>
      <c r="H2639" s="24"/>
      <c r="I2639" s="24"/>
      <c r="J2639" s="67"/>
      <c r="K2639" s="24"/>
    </row>
    <row r="2640" outlineLevel="1" spans="1:11">
      <c r="A2640" s="24"/>
      <c r="B2640" s="60" t="str">
        <f t="shared" si="59"/>
        <v>200F</v>
      </c>
      <c r="C2640" s="67"/>
      <c r="D2640" s="24"/>
      <c r="E2640" s="24"/>
      <c r="F2640" s="24"/>
      <c r="G2640" s="24"/>
      <c r="H2640" s="24"/>
      <c r="I2640" s="24"/>
      <c r="J2640" s="67"/>
      <c r="K2640" s="24"/>
    </row>
    <row r="2641" outlineLevel="1" spans="1:11">
      <c r="A2641" s="24"/>
      <c r="B2641" s="60" t="str">
        <f t="shared" si="59"/>
        <v>2010</v>
      </c>
      <c r="C2641" s="67"/>
      <c r="D2641" s="24"/>
      <c r="E2641" s="24"/>
      <c r="F2641" s="24"/>
      <c r="G2641" s="24"/>
      <c r="H2641" s="24"/>
      <c r="I2641" s="24"/>
      <c r="J2641" s="67"/>
      <c r="K2641" s="24"/>
    </row>
    <row r="2642" outlineLevel="1" spans="1:11">
      <c r="A2642" s="24"/>
      <c r="B2642" s="60" t="str">
        <f t="shared" si="59"/>
        <v>2011</v>
      </c>
      <c r="C2642" s="67"/>
      <c r="D2642" s="24"/>
      <c r="E2642" s="24"/>
      <c r="F2642" s="24"/>
      <c r="G2642" s="24"/>
      <c r="H2642" s="24"/>
      <c r="I2642" s="24"/>
      <c r="J2642" s="67"/>
      <c r="K2642" s="24"/>
    </row>
    <row r="2643" outlineLevel="1" spans="1:11">
      <c r="A2643" s="24"/>
      <c r="B2643" s="60" t="str">
        <f t="shared" si="59"/>
        <v>2012</v>
      </c>
      <c r="C2643" s="67"/>
      <c r="D2643" s="24"/>
      <c r="E2643" s="24"/>
      <c r="F2643" s="24"/>
      <c r="G2643" s="24"/>
      <c r="H2643" s="24"/>
      <c r="I2643" s="24"/>
      <c r="J2643" s="67"/>
      <c r="K2643" s="24"/>
    </row>
    <row r="2644" outlineLevel="1" spans="1:11">
      <c r="A2644" s="24"/>
      <c r="B2644" s="60" t="str">
        <f t="shared" si="59"/>
        <v>2013</v>
      </c>
      <c r="C2644" s="67"/>
      <c r="D2644" s="24"/>
      <c r="E2644" s="24"/>
      <c r="F2644" s="24"/>
      <c r="G2644" s="24"/>
      <c r="H2644" s="24"/>
      <c r="I2644" s="24"/>
      <c r="J2644" s="67"/>
      <c r="K2644" s="24"/>
    </row>
    <row r="2645" outlineLevel="1" spans="1:11">
      <c r="A2645" s="24"/>
      <c r="B2645" s="60" t="str">
        <f t="shared" si="59"/>
        <v>2014</v>
      </c>
      <c r="C2645" s="67"/>
      <c r="D2645" s="24"/>
      <c r="E2645" s="24"/>
      <c r="F2645" s="24"/>
      <c r="G2645" s="24"/>
      <c r="H2645" s="24"/>
      <c r="I2645" s="24"/>
      <c r="J2645" s="67"/>
      <c r="K2645" s="24"/>
    </row>
    <row r="2646" outlineLevel="1" spans="1:11">
      <c r="A2646" s="24"/>
      <c r="B2646" s="60" t="str">
        <f t="shared" si="59"/>
        <v>2015</v>
      </c>
      <c r="C2646" s="67"/>
      <c r="D2646" s="24"/>
      <c r="E2646" s="24"/>
      <c r="F2646" s="24"/>
      <c r="G2646" s="24"/>
      <c r="H2646" s="24"/>
      <c r="I2646" s="24"/>
      <c r="J2646" s="67"/>
      <c r="K2646" s="24"/>
    </row>
    <row r="2647" outlineLevel="1" spans="1:11">
      <c r="A2647" s="24"/>
      <c r="B2647" s="60" t="str">
        <f t="shared" si="59"/>
        <v>2016</v>
      </c>
      <c r="C2647" s="67"/>
      <c r="D2647" s="24"/>
      <c r="E2647" s="24"/>
      <c r="F2647" s="24"/>
      <c r="G2647" s="24"/>
      <c r="H2647" s="24"/>
      <c r="I2647" s="24"/>
      <c r="J2647" s="67"/>
      <c r="K2647" s="24"/>
    </row>
    <row r="2648" outlineLevel="1" spans="1:11">
      <c r="A2648" s="24"/>
      <c r="B2648" s="60" t="str">
        <f t="shared" si="59"/>
        <v>2017</v>
      </c>
      <c r="C2648" s="67"/>
      <c r="D2648" s="24"/>
      <c r="E2648" s="24"/>
      <c r="F2648" s="24"/>
      <c r="G2648" s="24"/>
      <c r="H2648" s="24"/>
      <c r="I2648" s="24"/>
      <c r="J2648" s="67"/>
      <c r="K2648" s="24"/>
    </row>
    <row r="2649" outlineLevel="1" spans="1:11">
      <c r="A2649" s="24"/>
      <c r="B2649" s="60" t="str">
        <f t="shared" si="59"/>
        <v>2018</v>
      </c>
      <c r="C2649" s="67"/>
      <c r="D2649" s="24"/>
      <c r="E2649" s="24"/>
      <c r="F2649" s="24"/>
      <c r="G2649" s="24"/>
      <c r="H2649" s="24"/>
      <c r="I2649" s="24"/>
      <c r="J2649" s="67"/>
      <c r="K2649" s="24"/>
    </row>
    <row r="2650" outlineLevel="1" spans="1:11">
      <c r="A2650" s="24"/>
      <c r="B2650" s="60" t="str">
        <f t="shared" si="59"/>
        <v>2019</v>
      </c>
      <c r="C2650" s="67"/>
      <c r="D2650" s="24"/>
      <c r="E2650" s="24"/>
      <c r="F2650" s="24"/>
      <c r="G2650" s="24"/>
      <c r="H2650" s="24"/>
      <c r="I2650" s="24"/>
      <c r="J2650" s="67"/>
      <c r="K2650" s="24"/>
    </row>
    <row r="2651" outlineLevel="1" spans="1:11">
      <c r="A2651" s="24"/>
      <c r="B2651" s="60" t="str">
        <f t="shared" si="59"/>
        <v>201A</v>
      </c>
      <c r="C2651" s="67"/>
      <c r="D2651" s="24"/>
      <c r="E2651" s="24"/>
      <c r="F2651" s="24"/>
      <c r="G2651" s="24"/>
      <c r="H2651" s="24"/>
      <c r="I2651" s="24"/>
      <c r="J2651" s="67"/>
      <c r="K2651" s="24"/>
    </row>
    <row r="2652" outlineLevel="1" spans="1:11">
      <c r="A2652" s="24"/>
      <c r="B2652" s="60" t="str">
        <f t="shared" si="59"/>
        <v>201B</v>
      </c>
      <c r="C2652" s="67"/>
      <c r="D2652" s="24"/>
      <c r="E2652" s="24"/>
      <c r="F2652" s="24"/>
      <c r="G2652" s="24"/>
      <c r="H2652" s="24"/>
      <c r="I2652" s="24"/>
      <c r="J2652" s="67"/>
      <c r="K2652" s="24"/>
    </row>
    <row r="2653" outlineLevel="1" spans="1:11">
      <c r="A2653" s="24"/>
      <c r="B2653" s="60" t="str">
        <f t="shared" si="59"/>
        <v>201C</v>
      </c>
      <c r="C2653" s="67"/>
      <c r="D2653" s="24"/>
      <c r="E2653" s="24"/>
      <c r="F2653" s="24"/>
      <c r="G2653" s="24"/>
      <c r="H2653" s="24"/>
      <c r="I2653" s="24"/>
      <c r="J2653" s="67"/>
      <c r="K2653" s="24"/>
    </row>
    <row r="2654" outlineLevel="1" spans="1:11">
      <c r="A2654" s="24"/>
      <c r="B2654" s="60" t="str">
        <f t="shared" si="59"/>
        <v>201D</v>
      </c>
      <c r="C2654" s="67"/>
      <c r="D2654" s="24"/>
      <c r="E2654" s="24"/>
      <c r="F2654" s="24"/>
      <c r="G2654" s="24"/>
      <c r="H2654" s="24"/>
      <c r="I2654" s="24"/>
      <c r="J2654" s="67"/>
      <c r="K2654" s="24"/>
    </row>
    <row r="2655" outlineLevel="1" spans="1:11">
      <c r="A2655" s="24"/>
      <c r="B2655" s="60" t="str">
        <f t="shared" si="59"/>
        <v>201E</v>
      </c>
      <c r="C2655" s="67"/>
      <c r="D2655" s="24"/>
      <c r="E2655" s="24"/>
      <c r="F2655" s="24"/>
      <c r="G2655" s="24"/>
      <c r="H2655" s="24"/>
      <c r="I2655" s="24"/>
      <c r="J2655" s="67"/>
      <c r="K2655" s="24"/>
    </row>
    <row r="2656" outlineLevel="1" spans="1:11">
      <c r="A2656" s="24"/>
      <c r="B2656" s="60" t="str">
        <f t="shared" si="59"/>
        <v>201F</v>
      </c>
      <c r="C2656" s="67"/>
      <c r="D2656" s="24"/>
      <c r="E2656" s="24"/>
      <c r="F2656" s="24"/>
      <c r="G2656" s="24"/>
      <c r="H2656" s="24"/>
      <c r="I2656" s="24"/>
      <c r="J2656" s="67"/>
      <c r="K2656" s="24"/>
    </row>
    <row r="2657" outlineLevel="1" spans="1:11">
      <c r="A2657" s="24"/>
      <c r="B2657" s="60" t="str">
        <f t="shared" si="59"/>
        <v>2020</v>
      </c>
      <c r="C2657" s="67"/>
      <c r="D2657" s="24"/>
      <c r="E2657" s="24"/>
      <c r="F2657" s="24"/>
      <c r="G2657" s="24"/>
      <c r="H2657" s="24"/>
      <c r="I2657" s="24"/>
      <c r="J2657" s="67"/>
      <c r="K2657" s="24"/>
    </row>
    <row r="2658" outlineLevel="1" spans="1:11">
      <c r="A2658" s="24"/>
      <c r="B2658" s="60" t="str">
        <f t="shared" si="59"/>
        <v>2021</v>
      </c>
      <c r="C2658" s="67"/>
      <c r="D2658" s="24"/>
      <c r="E2658" s="24"/>
      <c r="F2658" s="24"/>
      <c r="G2658" s="24"/>
      <c r="H2658" s="24"/>
      <c r="I2658" s="24"/>
      <c r="J2658" s="67"/>
      <c r="K2658" s="24"/>
    </row>
    <row r="2659" outlineLevel="1" spans="1:11">
      <c r="A2659" s="24"/>
      <c r="B2659" s="60" t="str">
        <f t="shared" si="59"/>
        <v>2022</v>
      </c>
      <c r="C2659" s="67"/>
      <c r="D2659" s="24"/>
      <c r="E2659" s="24"/>
      <c r="F2659" s="24"/>
      <c r="G2659" s="24"/>
      <c r="H2659" s="24"/>
      <c r="I2659" s="24"/>
      <c r="J2659" s="67"/>
      <c r="K2659" s="24"/>
    </row>
    <row r="2660" outlineLevel="1" spans="1:11">
      <c r="A2660" s="24"/>
      <c r="B2660" s="60" t="str">
        <f t="shared" si="59"/>
        <v>2023</v>
      </c>
      <c r="C2660" s="67"/>
      <c r="D2660" s="24"/>
      <c r="E2660" s="24"/>
      <c r="F2660" s="24"/>
      <c r="G2660" s="24"/>
      <c r="H2660" s="24"/>
      <c r="I2660" s="24"/>
      <c r="J2660" s="67"/>
      <c r="K2660" s="24"/>
    </row>
    <row r="2661" outlineLevel="1" spans="1:11">
      <c r="A2661" s="24"/>
      <c r="B2661" s="60" t="str">
        <f t="shared" si="59"/>
        <v>2024</v>
      </c>
      <c r="C2661" s="67"/>
      <c r="D2661" s="24"/>
      <c r="E2661" s="24"/>
      <c r="F2661" s="24"/>
      <c r="G2661" s="24"/>
      <c r="H2661" s="24"/>
      <c r="I2661" s="24"/>
      <c r="J2661" s="67"/>
      <c r="K2661" s="24"/>
    </row>
    <row r="2662" outlineLevel="1" spans="1:11">
      <c r="A2662" s="24"/>
      <c r="B2662" s="60" t="str">
        <f t="shared" si="59"/>
        <v>2025</v>
      </c>
      <c r="C2662" s="67"/>
      <c r="D2662" s="24"/>
      <c r="E2662" s="24"/>
      <c r="F2662" s="24"/>
      <c r="G2662" s="24"/>
      <c r="H2662" s="24"/>
      <c r="I2662" s="24"/>
      <c r="J2662" s="67"/>
      <c r="K2662" s="24"/>
    </row>
    <row r="2663" outlineLevel="1" spans="1:11">
      <c r="A2663" s="24"/>
      <c r="B2663" s="60" t="str">
        <f t="shared" si="59"/>
        <v>2026</v>
      </c>
      <c r="C2663" s="67"/>
      <c r="D2663" s="24"/>
      <c r="E2663" s="24"/>
      <c r="F2663" s="24"/>
      <c r="G2663" s="24"/>
      <c r="H2663" s="24"/>
      <c r="I2663" s="24"/>
      <c r="J2663" s="67"/>
      <c r="K2663" s="24"/>
    </row>
    <row r="2664" outlineLevel="1" spans="1:11">
      <c r="A2664" s="24"/>
      <c r="B2664" s="60" t="str">
        <f t="shared" si="59"/>
        <v>2027</v>
      </c>
      <c r="C2664" s="67"/>
      <c r="D2664" s="24"/>
      <c r="E2664" s="24"/>
      <c r="F2664" s="24"/>
      <c r="G2664" s="24"/>
      <c r="H2664" s="24"/>
      <c r="I2664" s="24"/>
      <c r="J2664" s="67"/>
      <c r="K2664" s="24"/>
    </row>
    <row r="2665" outlineLevel="1" spans="1:11">
      <c r="A2665" s="24"/>
      <c r="B2665" s="60" t="str">
        <f t="shared" si="59"/>
        <v>2028</v>
      </c>
      <c r="C2665" s="67"/>
      <c r="D2665" s="24"/>
      <c r="E2665" s="24"/>
      <c r="F2665" s="24"/>
      <c r="G2665" s="24"/>
      <c r="H2665" s="24"/>
      <c r="I2665" s="24"/>
      <c r="J2665" s="67"/>
      <c r="K2665" s="24"/>
    </row>
    <row r="2666" outlineLevel="1" spans="1:11">
      <c r="A2666" s="24"/>
      <c r="B2666" s="60" t="str">
        <f t="shared" si="59"/>
        <v>2029</v>
      </c>
      <c r="C2666" s="67"/>
      <c r="D2666" s="24"/>
      <c r="E2666" s="24"/>
      <c r="F2666" s="24"/>
      <c r="G2666" s="24"/>
      <c r="H2666" s="24"/>
      <c r="I2666" s="24"/>
      <c r="J2666" s="67"/>
      <c r="K2666" s="24"/>
    </row>
    <row r="2667" outlineLevel="1" spans="1:11">
      <c r="A2667" s="24"/>
      <c r="B2667" s="60" t="str">
        <f t="shared" si="59"/>
        <v>202A</v>
      </c>
      <c r="C2667" s="67"/>
      <c r="D2667" s="24"/>
      <c r="E2667" s="24"/>
      <c r="F2667" s="24"/>
      <c r="G2667" s="24"/>
      <c r="H2667" s="24"/>
      <c r="I2667" s="24"/>
      <c r="J2667" s="67"/>
      <c r="K2667" s="24"/>
    </row>
    <row r="2668" outlineLevel="1" spans="1:11">
      <c r="A2668" s="24"/>
      <c r="B2668" s="60" t="str">
        <f t="shared" si="59"/>
        <v>202B</v>
      </c>
      <c r="C2668" s="67"/>
      <c r="D2668" s="24"/>
      <c r="E2668" s="24"/>
      <c r="F2668" s="24"/>
      <c r="G2668" s="24"/>
      <c r="H2668" s="24"/>
      <c r="I2668" s="24"/>
      <c r="J2668" s="67"/>
      <c r="K2668" s="24"/>
    </row>
    <row r="2669" outlineLevel="1" spans="1:11">
      <c r="A2669" s="24"/>
      <c r="B2669" s="60" t="str">
        <f t="shared" si="59"/>
        <v>202C</v>
      </c>
      <c r="C2669" s="67"/>
      <c r="D2669" s="24"/>
      <c r="E2669" s="24"/>
      <c r="F2669" s="24"/>
      <c r="G2669" s="24"/>
      <c r="H2669" s="24"/>
      <c r="I2669" s="24"/>
      <c r="J2669" s="67"/>
      <c r="K2669" s="24"/>
    </row>
    <row r="2670" outlineLevel="1" spans="1:11">
      <c r="A2670" s="24"/>
      <c r="B2670" s="60" t="str">
        <f t="shared" si="59"/>
        <v>202D</v>
      </c>
      <c r="C2670" s="67"/>
      <c r="D2670" s="24"/>
      <c r="E2670" s="24"/>
      <c r="F2670" s="24"/>
      <c r="G2670" s="24"/>
      <c r="H2670" s="24"/>
      <c r="I2670" s="24"/>
      <c r="J2670" s="67"/>
      <c r="K2670" s="24"/>
    </row>
    <row r="2671" outlineLevel="1" spans="1:11">
      <c r="A2671" s="24"/>
      <c r="B2671" s="60" t="str">
        <f t="shared" si="59"/>
        <v>202E</v>
      </c>
      <c r="C2671" s="67"/>
      <c r="D2671" s="24"/>
      <c r="E2671" s="24"/>
      <c r="F2671" s="24"/>
      <c r="G2671" s="24"/>
      <c r="H2671" s="24"/>
      <c r="I2671" s="24"/>
      <c r="J2671" s="67"/>
      <c r="K2671" s="24"/>
    </row>
    <row r="2672" outlineLevel="1" spans="1:11">
      <c r="A2672" s="24"/>
      <c r="B2672" s="60" t="str">
        <f t="shared" si="59"/>
        <v>202F</v>
      </c>
      <c r="C2672" s="67"/>
      <c r="D2672" s="24"/>
      <c r="E2672" s="24"/>
      <c r="F2672" s="24"/>
      <c r="G2672" s="24"/>
      <c r="H2672" s="24"/>
      <c r="I2672" s="24"/>
      <c r="J2672" s="67"/>
      <c r="K2672" s="24"/>
    </row>
    <row r="2673" outlineLevel="1" spans="1:11">
      <c r="A2673" s="24"/>
      <c r="B2673" s="60" t="str">
        <f t="shared" si="59"/>
        <v>2030</v>
      </c>
      <c r="C2673" s="67"/>
      <c r="D2673" s="24"/>
      <c r="E2673" s="24"/>
      <c r="F2673" s="24"/>
      <c r="G2673" s="24"/>
      <c r="H2673" s="24"/>
      <c r="I2673" s="24"/>
      <c r="J2673" s="67"/>
      <c r="K2673" s="24"/>
    </row>
    <row r="2674" outlineLevel="1" spans="1:11">
      <c r="A2674" s="24"/>
      <c r="B2674" s="60" t="str">
        <f t="shared" si="59"/>
        <v>2031</v>
      </c>
      <c r="C2674" s="67"/>
      <c r="D2674" s="24"/>
      <c r="E2674" s="24"/>
      <c r="F2674" s="24"/>
      <c r="G2674" s="24"/>
      <c r="H2674" s="24"/>
      <c r="I2674" s="24"/>
      <c r="J2674" s="67"/>
      <c r="K2674" s="24"/>
    </row>
    <row r="2675" outlineLevel="1" spans="1:11">
      <c r="A2675" s="24"/>
      <c r="B2675" s="60" t="str">
        <f t="shared" si="59"/>
        <v>2032</v>
      </c>
      <c r="C2675" s="67"/>
      <c r="D2675" s="24"/>
      <c r="E2675" s="24"/>
      <c r="F2675" s="24"/>
      <c r="G2675" s="24"/>
      <c r="H2675" s="24"/>
      <c r="I2675" s="24"/>
      <c r="J2675" s="67"/>
      <c r="K2675" s="24"/>
    </row>
    <row r="2676" outlineLevel="1" spans="1:11">
      <c r="A2676" s="24"/>
      <c r="B2676" s="60" t="str">
        <f t="shared" si="59"/>
        <v>2033</v>
      </c>
      <c r="C2676" s="67"/>
      <c r="D2676" s="24"/>
      <c r="E2676" s="24"/>
      <c r="F2676" s="24"/>
      <c r="G2676" s="24"/>
      <c r="H2676" s="24"/>
      <c r="I2676" s="24"/>
      <c r="J2676" s="67"/>
      <c r="K2676" s="24"/>
    </row>
    <row r="2677" outlineLevel="1" spans="1:11">
      <c r="A2677" s="24"/>
      <c r="B2677" s="60" t="str">
        <f t="shared" si="59"/>
        <v>2034</v>
      </c>
      <c r="C2677" s="67"/>
      <c r="D2677" s="24"/>
      <c r="E2677" s="24"/>
      <c r="F2677" s="24"/>
      <c r="G2677" s="24"/>
      <c r="H2677" s="24"/>
      <c r="I2677" s="24"/>
      <c r="J2677" s="67"/>
      <c r="K2677" s="24"/>
    </row>
    <row r="2678" outlineLevel="1" spans="1:11">
      <c r="A2678" s="24"/>
      <c r="B2678" s="60" t="str">
        <f t="shared" si="59"/>
        <v>2035</v>
      </c>
      <c r="C2678" s="67"/>
      <c r="D2678" s="24"/>
      <c r="E2678" s="24"/>
      <c r="F2678" s="24"/>
      <c r="G2678" s="24"/>
      <c r="H2678" s="24"/>
      <c r="I2678" s="24"/>
      <c r="J2678" s="67"/>
      <c r="K2678" s="24"/>
    </row>
    <row r="2679" outlineLevel="1" spans="1:11">
      <c r="A2679" s="24"/>
      <c r="B2679" s="60" t="str">
        <f t="shared" si="59"/>
        <v>2036</v>
      </c>
      <c r="C2679" s="67"/>
      <c r="D2679" s="24"/>
      <c r="E2679" s="24"/>
      <c r="F2679" s="24"/>
      <c r="G2679" s="24"/>
      <c r="H2679" s="24"/>
      <c r="I2679" s="24"/>
      <c r="J2679" s="67"/>
      <c r="K2679" s="24"/>
    </row>
    <row r="2680" outlineLevel="1" spans="1:11">
      <c r="A2680" s="24"/>
      <c r="B2680" s="60" t="str">
        <f t="shared" si="59"/>
        <v>2037</v>
      </c>
      <c r="C2680" s="67"/>
      <c r="D2680" s="24"/>
      <c r="E2680" s="24"/>
      <c r="F2680" s="24"/>
      <c r="G2680" s="24"/>
      <c r="H2680" s="24"/>
      <c r="I2680" s="24"/>
      <c r="J2680" s="67"/>
      <c r="K2680" s="24"/>
    </row>
    <row r="2681" outlineLevel="1" spans="1:11">
      <c r="A2681" s="24"/>
      <c r="B2681" s="60" t="str">
        <f t="shared" si="59"/>
        <v>2038</v>
      </c>
      <c r="C2681" s="67"/>
      <c r="D2681" s="24"/>
      <c r="E2681" s="24"/>
      <c r="F2681" s="24"/>
      <c r="G2681" s="24"/>
      <c r="H2681" s="24"/>
      <c r="I2681" s="24"/>
      <c r="J2681" s="67"/>
      <c r="K2681" s="24"/>
    </row>
    <row r="2682" outlineLevel="1" spans="1:11">
      <c r="A2682" s="24"/>
      <c r="B2682" s="60" t="str">
        <f t="shared" si="59"/>
        <v>2039</v>
      </c>
      <c r="C2682" s="67"/>
      <c r="D2682" s="24"/>
      <c r="E2682" s="24"/>
      <c r="F2682" s="24"/>
      <c r="G2682" s="24"/>
      <c r="H2682" s="24"/>
      <c r="I2682" s="24"/>
      <c r="J2682" s="67"/>
      <c r="K2682" s="24"/>
    </row>
    <row r="2683" outlineLevel="1" spans="1:11">
      <c r="A2683" s="24"/>
      <c r="B2683" s="60" t="str">
        <f t="shared" si="59"/>
        <v>203A</v>
      </c>
      <c r="C2683" s="67"/>
      <c r="D2683" s="24"/>
      <c r="E2683" s="24"/>
      <c r="F2683" s="24"/>
      <c r="G2683" s="24"/>
      <c r="H2683" s="24"/>
      <c r="I2683" s="24"/>
      <c r="J2683" s="67"/>
      <c r="K2683" s="24"/>
    </row>
    <row r="2684" outlineLevel="1" spans="1:11">
      <c r="A2684" s="24"/>
      <c r="B2684" s="60" t="str">
        <f t="shared" si="59"/>
        <v>203B</v>
      </c>
      <c r="C2684" s="67"/>
      <c r="D2684" s="24"/>
      <c r="E2684" s="24"/>
      <c r="F2684" s="24"/>
      <c r="G2684" s="24"/>
      <c r="H2684" s="24"/>
      <c r="I2684" s="24"/>
      <c r="J2684" s="67"/>
      <c r="K2684" s="24"/>
    </row>
    <row r="2685" outlineLevel="1" spans="1:11">
      <c r="A2685" s="24"/>
      <c r="B2685" s="60" t="str">
        <f t="shared" si="59"/>
        <v>203C</v>
      </c>
      <c r="C2685" s="67"/>
      <c r="D2685" s="24"/>
      <c r="E2685" s="24"/>
      <c r="F2685" s="24"/>
      <c r="G2685" s="24"/>
      <c r="H2685" s="24"/>
      <c r="I2685" s="24"/>
      <c r="J2685" s="67"/>
      <c r="K2685" s="24"/>
    </row>
    <row r="2686" ht="128.25" outlineLevel="1" spans="1:11">
      <c r="A2686" s="24"/>
      <c r="B2686" s="60" t="str">
        <f t="shared" si="59"/>
        <v>203D</v>
      </c>
      <c r="C2686" s="67" t="s">
        <v>3076</v>
      </c>
      <c r="D2686" s="24" t="s">
        <v>89</v>
      </c>
      <c r="E2686" s="24"/>
      <c r="F2686" s="24"/>
      <c r="G2686" s="24"/>
      <c r="H2686" s="24"/>
      <c r="I2686" s="24" t="s">
        <v>41</v>
      </c>
      <c r="J2686" s="72" t="s">
        <v>3077</v>
      </c>
      <c r="K2686" s="24"/>
    </row>
    <row r="2687" ht="114" outlineLevel="1" spans="1:11">
      <c r="A2687" s="24"/>
      <c r="B2687" s="60" t="str">
        <f t="shared" si="59"/>
        <v>203E</v>
      </c>
      <c r="C2687" s="153" t="s">
        <v>3078</v>
      </c>
      <c r="D2687" s="24" t="s">
        <v>89</v>
      </c>
      <c r="E2687" s="24"/>
      <c r="F2687" s="24"/>
      <c r="G2687" s="35"/>
      <c r="H2687" s="35"/>
      <c r="I2687" s="30" t="s">
        <v>41</v>
      </c>
      <c r="J2687" s="72" t="s">
        <v>3079</v>
      </c>
      <c r="K2687" s="24"/>
    </row>
    <row r="2688" ht="156.75" outlineLevel="1" spans="1:11">
      <c r="A2688" s="24"/>
      <c r="B2688" s="60" t="str">
        <f t="shared" si="59"/>
        <v>203F</v>
      </c>
      <c r="C2688" s="153" t="s">
        <v>3080</v>
      </c>
      <c r="D2688" s="24" t="s">
        <v>89</v>
      </c>
      <c r="E2688" s="24"/>
      <c r="F2688" s="24"/>
      <c r="G2688" s="24"/>
      <c r="H2688" s="24"/>
      <c r="I2688" s="30" t="s">
        <v>38</v>
      </c>
      <c r="J2688" s="72" t="s">
        <v>3081</v>
      </c>
      <c r="K2688" s="24"/>
    </row>
    <row r="2689" outlineLevel="1" spans="1:11">
      <c r="A2689" s="24"/>
      <c r="B2689" s="81"/>
      <c r="C2689" s="67"/>
      <c r="D2689" s="24"/>
      <c r="E2689" s="24"/>
      <c r="F2689" s="24"/>
      <c r="G2689" s="24"/>
      <c r="H2689" s="24"/>
      <c r="I2689" s="24"/>
      <c r="J2689" s="67"/>
      <c r="K2689" s="24"/>
    </row>
    <row r="2690" outlineLevel="1" spans="1:11">
      <c r="A2690" s="24"/>
      <c r="B2690" s="81"/>
      <c r="C2690" s="67"/>
      <c r="D2690" s="24"/>
      <c r="E2690" s="24"/>
      <c r="F2690" s="24"/>
      <c r="G2690" s="24"/>
      <c r="H2690" s="24"/>
      <c r="I2690" s="24"/>
      <c r="J2690" s="67"/>
      <c r="K2690" s="24"/>
    </row>
    <row r="2691" outlineLevel="1" spans="1:11">
      <c r="A2691" s="24"/>
      <c r="B2691" s="81"/>
      <c r="C2691" s="67"/>
      <c r="D2691" s="24"/>
      <c r="E2691" s="24"/>
      <c r="F2691" s="24"/>
      <c r="G2691" s="24"/>
      <c r="H2691" s="24"/>
      <c r="I2691" s="24"/>
      <c r="J2691" s="67"/>
      <c r="K2691" s="24"/>
    </row>
    <row r="2692" outlineLevel="1" spans="1:11">
      <c r="A2692" s="24"/>
      <c r="B2692" s="81"/>
      <c r="C2692" s="67"/>
      <c r="D2692" s="24"/>
      <c r="E2692" s="24"/>
      <c r="F2692" s="24"/>
      <c r="G2692" s="24"/>
      <c r="H2692" s="24"/>
      <c r="I2692" s="24"/>
      <c r="J2692" s="67"/>
      <c r="K2692" s="24"/>
    </row>
    <row r="2693" outlineLevel="1" spans="1:11">
      <c r="A2693" s="24"/>
      <c r="B2693" s="81"/>
      <c r="C2693" s="67"/>
      <c r="D2693" s="24"/>
      <c r="E2693" s="24"/>
      <c r="F2693" s="24"/>
      <c r="G2693" s="24"/>
      <c r="H2693" s="24"/>
      <c r="I2693" s="24"/>
      <c r="J2693" s="67"/>
      <c r="K2693" s="24"/>
    </row>
    <row r="2694" outlineLevel="1" spans="1:11">
      <c r="A2694" s="24"/>
      <c r="B2694" s="81"/>
      <c r="C2694" s="67"/>
      <c r="D2694" s="24"/>
      <c r="E2694" s="24"/>
      <c r="F2694" s="24"/>
      <c r="G2694" s="24"/>
      <c r="H2694" s="24"/>
      <c r="I2694" s="24"/>
      <c r="J2694" s="67"/>
      <c r="K2694" s="24"/>
    </row>
    <row r="2695" outlineLevel="1" spans="1:11">
      <c r="A2695" s="24"/>
      <c r="B2695" s="81"/>
      <c r="C2695" s="67"/>
      <c r="D2695" s="24"/>
      <c r="E2695" s="24"/>
      <c r="F2695" s="24"/>
      <c r="G2695" s="24"/>
      <c r="H2695" s="24"/>
      <c r="I2695" s="24"/>
      <c r="J2695" s="67"/>
      <c r="K2695" s="24"/>
    </row>
    <row r="2696" outlineLevel="1" spans="1:11">
      <c r="A2696" s="24"/>
      <c r="B2696" s="81"/>
      <c r="C2696" s="67"/>
      <c r="D2696" s="24"/>
      <c r="E2696" s="24"/>
      <c r="F2696" s="24"/>
      <c r="G2696" s="24"/>
      <c r="H2696" s="24"/>
      <c r="I2696" s="24"/>
      <c r="J2696" s="67"/>
      <c r="K2696" s="24"/>
    </row>
    <row r="2697" outlineLevel="1" spans="1:11">
      <c r="A2697" s="24"/>
      <c r="B2697" s="81"/>
      <c r="C2697" s="67"/>
      <c r="D2697" s="24"/>
      <c r="E2697" s="24"/>
      <c r="F2697" s="24"/>
      <c r="G2697" s="24"/>
      <c r="H2697" s="24"/>
      <c r="I2697" s="24"/>
      <c r="J2697" s="67"/>
      <c r="K2697" s="24"/>
    </row>
    <row r="2698" outlineLevel="1" spans="1:11">
      <c r="A2698" s="24"/>
      <c r="B2698" s="81"/>
      <c r="C2698" s="67"/>
      <c r="D2698" s="24"/>
      <c r="E2698" s="24"/>
      <c r="F2698" s="24"/>
      <c r="G2698" s="24"/>
      <c r="H2698" s="24"/>
      <c r="I2698" s="24"/>
      <c r="J2698" s="67"/>
      <c r="K2698" s="24"/>
    </row>
    <row r="2699" outlineLevel="1" spans="1:11">
      <c r="A2699" s="24"/>
      <c r="B2699" s="81"/>
      <c r="C2699" s="67"/>
      <c r="D2699" s="24"/>
      <c r="E2699" s="24"/>
      <c r="F2699" s="24"/>
      <c r="G2699" s="24"/>
      <c r="H2699" s="24"/>
      <c r="I2699" s="24"/>
      <c r="J2699" s="67"/>
      <c r="K2699" s="24"/>
    </row>
    <row r="2700" outlineLevel="1" spans="1:11">
      <c r="A2700" s="24"/>
      <c r="B2700" s="81"/>
      <c r="C2700" s="67"/>
      <c r="D2700" s="24"/>
      <c r="E2700" s="24"/>
      <c r="F2700" s="24"/>
      <c r="G2700" s="24"/>
      <c r="H2700" s="24"/>
      <c r="I2700" s="24"/>
      <c r="J2700" s="67"/>
      <c r="K2700" s="24"/>
    </row>
    <row r="2701" outlineLevel="1" spans="1:11">
      <c r="A2701" s="24"/>
      <c r="B2701" s="81"/>
      <c r="C2701" s="67"/>
      <c r="D2701" s="24"/>
      <c r="E2701" s="24"/>
      <c r="F2701" s="24"/>
      <c r="G2701" s="24"/>
      <c r="H2701" s="24"/>
      <c r="I2701" s="24"/>
      <c r="J2701" s="67"/>
      <c r="K2701" s="24"/>
    </row>
    <row r="2702" outlineLevel="1" spans="1:11">
      <c r="A2702" s="24"/>
      <c r="B2702" s="81"/>
      <c r="C2702" s="67"/>
      <c r="D2702" s="24"/>
      <c r="E2702" s="24"/>
      <c r="F2702" s="24"/>
      <c r="G2702" s="24"/>
      <c r="H2702" s="24"/>
      <c r="I2702" s="24"/>
      <c r="J2702" s="67"/>
      <c r="K2702" s="24"/>
    </row>
    <row r="2703" spans="1:11">
      <c r="A2703" s="24"/>
      <c r="B2703" s="81"/>
      <c r="C2703" s="67"/>
      <c r="D2703" s="24"/>
      <c r="E2703" s="24"/>
      <c r="F2703" s="24"/>
      <c r="G2703" s="24"/>
      <c r="H2703" s="24"/>
      <c r="I2703" s="24"/>
      <c r="J2703" s="67"/>
      <c r="K2703" s="24"/>
    </row>
    <row r="2704" spans="1:11">
      <c r="A2704" s="24"/>
      <c r="B2704" s="81"/>
      <c r="C2704" s="67"/>
      <c r="D2704" s="24"/>
      <c r="E2704" s="24"/>
      <c r="F2704" s="24"/>
      <c r="G2704" s="24"/>
      <c r="H2704" s="24"/>
      <c r="I2704" s="24"/>
      <c r="J2704" s="67"/>
      <c r="K2704" s="24"/>
    </row>
    <row r="2705" customFormat="1" spans="1:14">
      <c r="A2705" s="154" t="s">
        <v>3082</v>
      </c>
      <c r="B2705" s="154"/>
      <c r="C2705" s="154"/>
      <c r="D2705" s="154"/>
      <c r="E2705" s="154"/>
      <c r="F2705" s="154"/>
      <c r="G2705" s="154"/>
      <c r="H2705" s="154"/>
      <c r="I2705" s="154"/>
      <c r="J2705" s="154"/>
      <c r="K2705" s="154"/>
      <c r="L2705" s="22"/>
      <c r="M2705" s="22"/>
      <c r="N2705" s="22"/>
    </row>
    <row r="2706" s="49" customFormat="1" ht="285" outlineLevel="1" spans="1:11">
      <c r="A2706" s="82"/>
      <c r="B2706" s="107" t="s">
        <v>3083</v>
      </c>
      <c r="C2706" s="155"/>
      <c r="D2706" s="156" t="s">
        <v>66</v>
      </c>
      <c r="E2706" s="156"/>
      <c r="F2706" s="156"/>
      <c r="G2706" s="156"/>
      <c r="H2706" s="156"/>
      <c r="I2706" s="156" t="s">
        <v>1070</v>
      </c>
      <c r="J2706" s="155" t="s">
        <v>3084</v>
      </c>
      <c r="K2706" s="105" t="s">
        <v>61</v>
      </c>
    </row>
    <row r="2707" customFormat="1" spans="1:14">
      <c r="A2707" s="24"/>
      <c r="B2707" s="81"/>
      <c r="C2707" s="67"/>
      <c r="D2707" s="24"/>
      <c r="E2707" s="24"/>
      <c r="F2707" s="24"/>
      <c r="G2707" s="24"/>
      <c r="H2707" s="24"/>
      <c r="I2707" s="24"/>
      <c r="J2707" s="67"/>
      <c r="K2707" s="24"/>
      <c r="L2707" s="22"/>
      <c r="M2707" s="22"/>
      <c r="N2707" s="22"/>
    </row>
    <row r="2708" spans="1:11">
      <c r="A2708" s="24"/>
      <c r="B2708" s="81"/>
      <c r="C2708" s="67"/>
      <c r="D2708" s="24"/>
      <c r="E2708" s="24"/>
      <c r="F2708" s="24"/>
      <c r="G2708" s="24"/>
      <c r="H2708" s="24"/>
      <c r="I2708" s="24"/>
      <c r="J2708" s="67"/>
      <c r="K2708" s="24"/>
    </row>
    <row r="2709" spans="1:11">
      <c r="A2709" s="24"/>
      <c r="B2709" s="81"/>
      <c r="C2709" s="67"/>
      <c r="D2709" s="24"/>
      <c r="E2709" s="24"/>
      <c r="F2709" s="24"/>
      <c r="G2709" s="24"/>
      <c r="H2709" s="24"/>
      <c r="I2709" s="24"/>
      <c r="J2709" s="67"/>
      <c r="K2709" s="24"/>
    </row>
    <row r="2710" spans="1:11">
      <c r="A2710" s="24"/>
      <c r="B2710" s="81"/>
      <c r="C2710" s="67"/>
      <c r="D2710" s="24"/>
      <c r="E2710" s="24"/>
      <c r="F2710" s="24"/>
      <c r="G2710" s="24"/>
      <c r="H2710" s="24"/>
      <c r="I2710" s="24"/>
      <c r="J2710" s="67"/>
      <c r="K2710" s="24"/>
    </row>
    <row r="2711" spans="1:11">
      <c r="A2711" s="24"/>
      <c r="B2711" s="81"/>
      <c r="C2711" s="67"/>
      <c r="D2711" s="24"/>
      <c r="E2711" s="24"/>
      <c r="F2711" s="24"/>
      <c r="G2711" s="24"/>
      <c r="H2711" s="24"/>
      <c r="I2711" s="24"/>
      <c r="J2711" s="67"/>
      <c r="K2711" s="24"/>
    </row>
    <row r="2712" spans="1:11">
      <c r="A2712" s="66" t="s">
        <v>3085</v>
      </c>
      <c r="B2712" s="66"/>
      <c r="C2712" s="66"/>
      <c r="D2712" s="66"/>
      <c r="E2712" s="66"/>
      <c r="F2712" s="66"/>
      <c r="G2712" s="66"/>
      <c r="H2712" s="66"/>
      <c r="I2712" s="66"/>
      <c r="J2712" s="66"/>
      <c r="K2712" s="66"/>
    </row>
    <row r="2713" outlineLevel="1" spans="2:10">
      <c r="B2713" s="50" t="str">
        <f t="shared" ref="B2713:B2744" si="60">DEC2HEX(36864+ROW()-ROW($B$2713),4)</f>
        <v>9000</v>
      </c>
      <c r="C2713" s="78" t="s">
        <v>3086</v>
      </c>
      <c r="D2713" s="47" t="s">
        <v>59</v>
      </c>
      <c r="E2713" s="47"/>
      <c r="F2713" s="47"/>
      <c r="G2713" s="47"/>
      <c r="H2713" s="47"/>
      <c r="I2713" s="47" t="s">
        <v>38</v>
      </c>
      <c r="J2713" s="72" t="s">
        <v>568</v>
      </c>
    </row>
    <row r="2714" outlineLevel="1" spans="2:10">
      <c r="B2714" s="50" t="str">
        <f t="shared" si="60"/>
        <v>9001</v>
      </c>
      <c r="C2714" s="78"/>
      <c r="D2714" s="47"/>
      <c r="E2714" s="47"/>
      <c r="F2714" s="47"/>
      <c r="G2714" s="47"/>
      <c r="H2714" s="47"/>
      <c r="I2714" s="47"/>
      <c r="J2714" s="72"/>
    </row>
    <row r="2715" outlineLevel="1" spans="2:10">
      <c r="B2715" s="50" t="str">
        <f t="shared" si="60"/>
        <v>9002</v>
      </c>
      <c r="C2715" s="78"/>
      <c r="D2715" s="47"/>
      <c r="E2715" s="47"/>
      <c r="F2715" s="47"/>
      <c r="G2715" s="47"/>
      <c r="H2715" s="47"/>
      <c r="I2715" s="47"/>
      <c r="J2715" s="72"/>
    </row>
    <row r="2716" ht="48" customHeight="1" outlineLevel="1" spans="2:10">
      <c r="B2716" s="50" t="str">
        <f t="shared" si="60"/>
        <v>9003</v>
      </c>
      <c r="C2716" s="78"/>
      <c r="D2716" s="47"/>
      <c r="E2716" s="47"/>
      <c r="F2716" s="47"/>
      <c r="G2716" s="47"/>
      <c r="H2716" s="47"/>
      <c r="I2716" s="47"/>
      <c r="J2716" s="72"/>
    </row>
    <row r="2717" ht="103.5" customHeight="1" outlineLevel="1" spans="2:11">
      <c r="B2717" s="50" t="str">
        <f t="shared" si="60"/>
        <v>9004</v>
      </c>
      <c r="C2717" s="157" t="s">
        <v>3087</v>
      </c>
      <c r="D2717" s="112" t="s">
        <v>164</v>
      </c>
      <c r="E2717" s="112"/>
      <c r="F2717" s="112"/>
      <c r="G2717" s="112"/>
      <c r="H2717" s="112"/>
      <c r="I2717" s="112" t="s">
        <v>38</v>
      </c>
      <c r="J2717" s="73" t="s">
        <v>3088</v>
      </c>
      <c r="K2717" s="112"/>
    </row>
    <row r="2718" outlineLevel="1" spans="2:11">
      <c r="B2718" s="50" t="str">
        <f t="shared" si="60"/>
        <v>9005</v>
      </c>
      <c r="C2718" s="158"/>
      <c r="D2718" s="159"/>
      <c r="E2718" s="159"/>
      <c r="F2718" s="159"/>
      <c r="G2718" s="159"/>
      <c r="H2718" s="159"/>
      <c r="I2718" s="159"/>
      <c r="J2718" s="74"/>
      <c r="K2718" s="159"/>
    </row>
    <row r="2719" ht="22" customHeight="1" outlineLevel="1" spans="2:10">
      <c r="B2719" s="50" t="str">
        <f t="shared" si="60"/>
        <v>9006</v>
      </c>
      <c r="C2719" s="52" t="s">
        <v>3089</v>
      </c>
      <c r="D2719" s="22" t="s">
        <v>89</v>
      </c>
      <c r="I2719" s="22" t="s">
        <v>38</v>
      </c>
      <c r="J2719" s="72" t="s">
        <v>3090</v>
      </c>
    </row>
    <row r="2720" outlineLevel="1" spans="2:10">
      <c r="B2720" s="50" t="str">
        <f t="shared" si="60"/>
        <v>9007</v>
      </c>
      <c r="C2720" s="52" t="s">
        <v>3091</v>
      </c>
      <c r="D2720" s="22" t="s">
        <v>89</v>
      </c>
      <c r="I2720" s="22" t="s">
        <v>38</v>
      </c>
      <c r="J2720" s="72" t="s">
        <v>3092</v>
      </c>
    </row>
    <row r="2721" outlineLevel="1" spans="2:10">
      <c r="B2721" s="50" t="str">
        <f t="shared" si="60"/>
        <v>9008</v>
      </c>
      <c r="C2721" s="52" t="s">
        <v>3093</v>
      </c>
      <c r="D2721" s="22" t="s">
        <v>89</v>
      </c>
      <c r="I2721" s="22" t="s">
        <v>38</v>
      </c>
      <c r="J2721" s="72" t="s">
        <v>3094</v>
      </c>
    </row>
    <row r="2722" outlineLevel="1" spans="2:10">
      <c r="B2722" s="50" t="str">
        <f t="shared" si="60"/>
        <v>9009</v>
      </c>
      <c r="C2722" s="52" t="s">
        <v>3095</v>
      </c>
      <c r="D2722" s="22" t="s">
        <v>89</v>
      </c>
      <c r="I2722" s="22" t="s">
        <v>38</v>
      </c>
      <c r="J2722" s="72" t="s">
        <v>3096</v>
      </c>
    </row>
    <row r="2723" outlineLevel="1" spans="2:10">
      <c r="B2723" s="50" t="str">
        <f t="shared" si="60"/>
        <v>900A</v>
      </c>
      <c r="C2723" s="52" t="s">
        <v>3097</v>
      </c>
      <c r="D2723" s="22" t="s">
        <v>89</v>
      </c>
      <c r="I2723" s="22" t="s">
        <v>38</v>
      </c>
      <c r="J2723" s="72" t="s">
        <v>3098</v>
      </c>
    </row>
    <row r="2724" outlineLevel="1" spans="2:10">
      <c r="B2724" s="50" t="str">
        <f t="shared" si="60"/>
        <v>900B</v>
      </c>
      <c r="C2724" s="52" t="s">
        <v>3099</v>
      </c>
      <c r="D2724" s="22" t="s">
        <v>89</v>
      </c>
      <c r="I2724" s="22" t="s">
        <v>38</v>
      </c>
      <c r="J2724" s="72" t="s">
        <v>3100</v>
      </c>
    </row>
    <row r="2725" outlineLevel="1" spans="2:10">
      <c r="B2725" s="50" t="str">
        <f t="shared" si="60"/>
        <v>900C</v>
      </c>
      <c r="C2725" s="52" t="s">
        <v>3101</v>
      </c>
      <c r="D2725" s="22" t="s">
        <v>89</v>
      </c>
      <c r="I2725" s="22" t="s">
        <v>38</v>
      </c>
      <c r="J2725" s="72" t="s">
        <v>3102</v>
      </c>
    </row>
    <row r="2726" ht="57" outlineLevel="1" spans="2:10">
      <c r="B2726" s="50" t="str">
        <f t="shared" si="60"/>
        <v>900D</v>
      </c>
      <c r="C2726" s="52" t="s">
        <v>3103</v>
      </c>
      <c r="D2726" s="22" t="s">
        <v>89</v>
      </c>
      <c r="I2726" s="22" t="s">
        <v>38</v>
      </c>
      <c r="J2726" s="72" t="s">
        <v>3104</v>
      </c>
    </row>
    <row r="2727" outlineLevel="1" spans="2:10">
      <c r="B2727" s="50" t="str">
        <f t="shared" si="60"/>
        <v>900E</v>
      </c>
      <c r="C2727" s="52" t="s">
        <v>3105</v>
      </c>
      <c r="D2727" s="22" t="s">
        <v>89</v>
      </c>
      <c r="E2727" s="22">
        <v>1</v>
      </c>
      <c r="F2727" s="160" t="s">
        <v>584</v>
      </c>
      <c r="I2727" s="22" t="s">
        <v>38</v>
      </c>
      <c r="J2727" s="72" t="s">
        <v>3106</v>
      </c>
    </row>
    <row r="2728" outlineLevel="1" spans="2:10">
      <c r="B2728" s="50" t="str">
        <f t="shared" si="60"/>
        <v>900F</v>
      </c>
      <c r="C2728" s="52" t="s">
        <v>3107</v>
      </c>
      <c r="D2728" s="22" t="s">
        <v>89</v>
      </c>
      <c r="E2728" s="22">
        <v>0.1</v>
      </c>
      <c r="F2728" s="160" t="s">
        <v>44</v>
      </c>
      <c r="I2728" s="22" t="s">
        <v>38</v>
      </c>
      <c r="J2728" s="72" t="s">
        <v>3108</v>
      </c>
    </row>
    <row r="2729" outlineLevel="1" spans="2:10">
      <c r="B2729" s="50" t="str">
        <f t="shared" si="60"/>
        <v>9010</v>
      </c>
      <c r="C2729" s="52" t="s">
        <v>3109</v>
      </c>
      <c r="D2729" s="22" t="s">
        <v>89</v>
      </c>
      <c r="E2729" s="22">
        <v>0.1</v>
      </c>
      <c r="F2729" s="160" t="s">
        <v>303</v>
      </c>
      <c r="I2729" s="22" t="s">
        <v>38</v>
      </c>
      <c r="J2729" s="72" t="s">
        <v>3110</v>
      </c>
    </row>
    <row r="2730" outlineLevel="1" spans="2:10">
      <c r="B2730" s="50" t="str">
        <f t="shared" si="60"/>
        <v>9011</v>
      </c>
      <c r="C2730" s="52" t="s">
        <v>3111</v>
      </c>
      <c r="D2730" s="22" t="s">
        <v>89</v>
      </c>
      <c r="E2730" s="22">
        <v>0.1</v>
      </c>
      <c r="F2730" s="70" t="s">
        <v>581</v>
      </c>
      <c r="I2730" s="22" t="s">
        <v>38</v>
      </c>
      <c r="J2730" s="72" t="s">
        <v>3112</v>
      </c>
    </row>
    <row r="2731" outlineLevel="1" spans="2:10">
      <c r="B2731" s="50" t="str">
        <f t="shared" si="60"/>
        <v>9012</v>
      </c>
      <c r="C2731" s="52" t="s">
        <v>3113</v>
      </c>
      <c r="D2731" s="22" t="s">
        <v>89</v>
      </c>
      <c r="E2731" s="22">
        <v>1</v>
      </c>
      <c r="F2731" s="160" t="s">
        <v>584</v>
      </c>
      <c r="I2731" s="22" t="s">
        <v>38</v>
      </c>
      <c r="J2731" s="72" t="s">
        <v>3114</v>
      </c>
    </row>
    <row r="2732" outlineLevel="1" spans="2:10">
      <c r="B2732" s="50" t="str">
        <f t="shared" si="60"/>
        <v>9013</v>
      </c>
      <c r="C2732" s="52" t="s">
        <v>3115</v>
      </c>
      <c r="D2732" s="22" t="s">
        <v>89</v>
      </c>
      <c r="E2732" s="22">
        <v>1</v>
      </c>
      <c r="F2732" s="160" t="s">
        <v>584</v>
      </c>
      <c r="I2732" s="22" t="s">
        <v>38</v>
      </c>
      <c r="J2732" s="72" t="s">
        <v>3116</v>
      </c>
    </row>
    <row r="2733" outlineLevel="1" spans="2:10">
      <c r="B2733" s="50" t="str">
        <f t="shared" si="60"/>
        <v>9014</v>
      </c>
      <c r="C2733" s="52" t="s">
        <v>3117</v>
      </c>
      <c r="D2733" s="22" t="s">
        <v>89</v>
      </c>
      <c r="I2733" s="22" t="s">
        <v>38</v>
      </c>
      <c r="J2733" s="72" t="s">
        <v>3118</v>
      </c>
    </row>
    <row r="2734" outlineLevel="1" spans="2:10">
      <c r="B2734" s="50" t="str">
        <f t="shared" si="60"/>
        <v>9015</v>
      </c>
      <c r="C2734" s="52" t="s">
        <v>3119</v>
      </c>
      <c r="D2734" s="22" t="s">
        <v>89</v>
      </c>
      <c r="I2734" s="22" t="s">
        <v>38</v>
      </c>
      <c r="J2734" s="72" t="s">
        <v>3120</v>
      </c>
    </row>
    <row r="2735" outlineLevel="1" spans="2:10">
      <c r="B2735" s="50" t="str">
        <f t="shared" si="60"/>
        <v>9016</v>
      </c>
      <c r="C2735" s="52" t="s">
        <v>3121</v>
      </c>
      <c r="D2735" s="22" t="s">
        <v>89</v>
      </c>
      <c r="I2735" s="22" t="s">
        <v>38</v>
      </c>
      <c r="J2735" s="72" t="s">
        <v>3122</v>
      </c>
    </row>
    <row r="2736" outlineLevel="1" spans="2:10">
      <c r="B2736" s="50" t="str">
        <f t="shared" si="60"/>
        <v>9017</v>
      </c>
      <c r="C2736" s="52" t="s">
        <v>3123</v>
      </c>
      <c r="D2736" s="22" t="s">
        <v>89</v>
      </c>
      <c r="I2736" s="22" t="s">
        <v>38</v>
      </c>
      <c r="J2736" s="72" t="s">
        <v>3124</v>
      </c>
    </row>
    <row r="2737" outlineLevel="1" spans="2:2">
      <c r="B2737" s="50" t="str">
        <f t="shared" si="60"/>
        <v>9018</v>
      </c>
    </row>
    <row r="2738" outlineLevel="1" spans="2:2">
      <c r="B2738" s="50" t="str">
        <f t="shared" si="60"/>
        <v>9019</v>
      </c>
    </row>
    <row r="2739" outlineLevel="1" spans="2:2">
      <c r="B2739" s="50" t="str">
        <f t="shared" si="60"/>
        <v>901A</v>
      </c>
    </row>
    <row r="2740" outlineLevel="1" spans="2:2">
      <c r="B2740" s="50" t="str">
        <f t="shared" si="60"/>
        <v>901B</v>
      </c>
    </row>
    <row r="2741" outlineLevel="1" spans="2:2">
      <c r="B2741" s="50" t="str">
        <f t="shared" si="60"/>
        <v>901C</v>
      </c>
    </row>
    <row r="2742" outlineLevel="1" spans="2:2">
      <c r="B2742" s="50" t="str">
        <f t="shared" si="60"/>
        <v>901D</v>
      </c>
    </row>
    <row r="2743" outlineLevel="1" spans="2:2">
      <c r="B2743" s="50" t="str">
        <f t="shared" si="60"/>
        <v>901E</v>
      </c>
    </row>
    <row r="2744" outlineLevel="1" spans="2:2">
      <c r="B2744" s="50" t="str">
        <f t="shared" si="60"/>
        <v>901F</v>
      </c>
    </row>
    <row r="2745" ht="199.5" outlineLevel="1" spans="2:10">
      <c r="B2745" s="50" t="str">
        <f t="shared" ref="B2745:B2776" si="61">DEC2HEX(36864+ROW()-ROW($B$2713),4)</f>
        <v>9020</v>
      </c>
      <c r="C2745" s="52" t="s">
        <v>3125</v>
      </c>
      <c r="D2745" s="22" t="s">
        <v>89</v>
      </c>
      <c r="I2745" s="22" t="s">
        <v>1070</v>
      </c>
      <c r="J2745" s="72" t="s">
        <v>3126</v>
      </c>
    </row>
    <row r="2746" outlineLevel="1" spans="2:2">
      <c r="B2746" s="50" t="str">
        <f t="shared" si="61"/>
        <v>9021</v>
      </c>
    </row>
    <row r="2747" outlineLevel="1" spans="2:2">
      <c r="B2747" s="50" t="str">
        <f t="shared" si="61"/>
        <v>9022</v>
      </c>
    </row>
    <row r="2748" outlineLevel="1" spans="2:2">
      <c r="B2748" s="50" t="str">
        <f t="shared" si="61"/>
        <v>9023</v>
      </c>
    </row>
    <row r="2749" outlineLevel="1" spans="2:2">
      <c r="B2749" s="50" t="str">
        <f t="shared" si="61"/>
        <v>9024</v>
      </c>
    </row>
    <row r="2750" outlineLevel="1" spans="2:2">
      <c r="B2750" s="50" t="str">
        <f t="shared" si="61"/>
        <v>9025</v>
      </c>
    </row>
    <row r="2751" outlineLevel="1" spans="2:2">
      <c r="B2751" s="50" t="str">
        <f t="shared" si="61"/>
        <v>9026</v>
      </c>
    </row>
    <row r="2752" outlineLevel="1" spans="2:2">
      <c r="B2752" s="50" t="str">
        <f t="shared" si="61"/>
        <v>9027</v>
      </c>
    </row>
    <row r="2753" outlineLevel="1" spans="2:2">
      <c r="B2753" s="50" t="str">
        <f t="shared" si="61"/>
        <v>9028</v>
      </c>
    </row>
    <row r="2754" outlineLevel="1" spans="2:2">
      <c r="B2754" s="50" t="str">
        <f t="shared" si="61"/>
        <v>9029</v>
      </c>
    </row>
    <row r="2755" outlineLevel="1" spans="2:2">
      <c r="B2755" s="50" t="str">
        <f t="shared" si="61"/>
        <v>902A</v>
      </c>
    </row>
    <row r="2756" outlineLevel="1" spans="2:2">
      <c r="B2756" s="50" t="str">
        <f t="shared" si="61"/>
        <v>902B</v>
      </c>
    </row>
    <row r="2757" outlineLevel="1" spans="2:2">
      <c r="B2757" s="50" t="str">
        <f t="shared" si="61"/>
        <v>902C</v>
      </c>
    </row>
    <row r="2758" outlineLevel="1" spans="2:2">
      <c r="B2758" s="50" t="str">
        <f t="shared" si="61"/>
        <v>902D</v>
      </c>
    </row>
    <row r="2759" outlineLevel="1" spans="2:2">
      <c r="B2759" s="50" t="str">
        <f t="shared" si="61"/>
        <v>902E</v>
      </c>
    </row>
    <row r="2760" outlineLevel="1" spans="2:2">
      <c r="B2760" s="50" t="str">
        <f t="shared" si="61"/>
        <v>902F</v>
      </c>
    </row>
    <row r="2761" outlineLevel="1" spans="2:2">
      <c r="B2761" s="50" t="str">
        <f t="shared" si="61"/>
        <v>9030</v>
      </c>
    </row>
    <row r="2762" outlineLevel="1" spans="2:2">
      <c r="B2762" s="50" t="str">
        <f t="shared" si="61"/>
        <v>9031</v>
      </c>
    </row>
    <row r="2763" outlineLevel="1" spans="2:2">
      <c r="B2763" s="50" t="str">
        <f t="shared" si="61"/>
        <v>9032</v>
      </c>
    </row>
    <row r="2764" outlineLevel="1" spans="2:2">
      <c r="B2764" s="50" t="str">
        <f t="shared" si="61"/>
        <v>9033</v>
      </c>
    </row>
    <row r="2765" outlineLevel="1" spans="2:2">
      <c r="B2765" s="50" t="str">
        <f t="shared" si="61"/>
        <v>9034</v>
      </c>
    </row>
    <row r="2766" outlineLevel="1" spans="2:2">
      <c r="B2766" s="50" t="str">
        <f t="shared" si="61"/>
        <v>9035</v>
      </c>
    </row>
    <row r="2767" outlineLevel="1" spans="2:2">
      <c r="B2767" s="50" t="str">
        <f t="shared" si="61"/>
        <v>9036</v>
      </c>
    </row>
    <row r="2768" outlineLevel="1" spans="2:2">
      <c r="B2768" s="50" t="str">
        <f t="shared" si="61"/>
        <v>9037</v>
      </c>
    </row>
    <row r="2769" outlineLevel="1" spans="2:2">
      <c r="B2769" s="50" t="str">
        <f t="shared" si="61"/>
        <v>9038</v>
      </c>
    </row>
    <row r="2770" outlineLevel="1" spans="2:2">
      <c r="B2770" s="50" t="str">
        <f t="shared" si="61"/>
        <v>9039</v>
      </c>
    </row>
    <row r="2771" outlineLevel="1" spans="2:2">
      <c r="B2771" s="50" t="str">
        <f t="shared" si="61"/>
        <v>903A</v>
      </c>
    </row>
    <row r="2772" outlineLevel="1" spans="2:2">
      <c r="B2772" s="50" t="str">
        <f t="shared" si="61"/>
        <v>903B</v>
      </c>
    </row>
    <row r="2773" outlineLevel="1" spans="2:2">
      <c r="B2773" s="50" t="str">
        <f t="shared" si="61"/>
        <v>903C</v>
      </c>
    </row>
    <row r="2774" outlineLevel="1" spans="2:2">
      <c r="B2774" s="50" t="str">
        <f t="shared" si="61"/>
        <v>903D</v>
      </c>
    </row>
    <row r="2775" outlineLevel="1" spans="2:2">
      <c r="B2775" s="50" t="str">
        <f t="shared" si="61"/>
        <v>903E</v>
      </c>
    </row>
    <row r="2776" outlineLevel="1" spans="2:2">
      <c r="B2776" s="50" t="str">
        <f t="shared" si="61"/>
        <v>903F</v>
      </c>
    </row>
    <row r="2777" outlineLevel="1" spans="2:10">
      <c r="B2777" s="50" t="str">
        <f t="shared" ref="B2777:B2808" si="62">DEC2HEX(36864+ROW()-ROW($B$2713),4)</f>
        <v>9040</v>
      </c>
      <c r="C2777" s="78" t="s">
        <v>3127</v>
      </c>
      <c r="D2777" s="47" t="s">
        <v>59</v>
      </c>
      <c r="E2777" s="47"/>
      <c r="F2777" s="47"/>
      <c r="G2777" s="47"/>
      <c r="H2777" s="47"/>
      <c r="I2777" s="47" t="s">
        <v>38</v>
      </c>
      <c r="J2777" s="72" t="s">
        <v>568</v>
      </c>
    </row>
    <row r="2778" outlineLevel="1" spans="2:10">
      <c r="B2778" s="50" t="str">
        <f t="shared" si="62"/>
        <v>9041</v>
      </c>
      <c r="C2778" s="78"/>
      <c r="D2778" s="47"/>
      <c r="E2778" s="47"/>
      <c r="F2778" s="47"/>
      <c r="G2778" s="47"/>
      <c r="H2778" s="47"/>
      <c r="I2778" s="47"/>
      <c r="J2778" s="72"/>
    </row>
    <row r="2779" outlineLevel="1" spans="2:10">
      <c r="B2779" s="50" t="str">
        <f t="shared" si="62"/>
        <v>9042</v>
      </c>
      <c r="C2779" s="78"/>
      <c r="D2779" s="47"/>
      <c r="E2779" s="47"/>
      <c r="F2779" s="47"/>
      <c r="G2779" s="47"/>
      <c r="H2779" s="47"/>
      <c r="I2779" s="47"/>
      <c r="J2779" s="72"/>
    </row>
    <row r="2780" ht="45" customHeight="1" outlineLevel="1" spans="2:10">
      <c r="B2780" s="50" t="str">
        <f t="shared" si="62"/>
        <v>9043</v>
      </c>
      <c r="C2780" s="78"/>
      <c r="D2780" s="47"/>
      <c r="E2780" s="47"/>
      <c r="F2780" s="47"/>
      <c r="G2780" s="47"/>
      <c r="H2780" s="47"/>
      <c r="I2780" s="47"/>
      <c r="J2780" s="72"/>
    </row>
    <row r="2781" ht="57" outlineLevel="1" spans="2:10">
      <c r="B2781" s="50" t="str">
        <f t="shared" si="62"/>
        <v>9044</v>
      </c>
      <c r="C2781" s="52" t="s">
        <v>3128</v>
      </c>
      <c r="D2781" s="22" t="s">
        <v>89</v>
      </c>
      <c r="I2781" s="160" t="s">
        <v>38</v>
      </c>
      <c r="J2781" s="72" t="s">
        <v>3129</v>
      </c>
    </row>
    <row r="2782" outlineLevel="1" spans="2:11">
      <c r="B2782" s="50" t="str">
        <f t="shared" si="62"/>
        <v>9045</v>
      </c>
      <c r="C2782" s="157" t="s">
        <v>3130</v>
      </c>
      <c r="D2782" s="112" t="s">
        <v>164</v>
      </c>
      <c r="E2782" s="112"/>
      <c r="F2782" s="112"/>
      <c r="G2782" s="112"/>
      <c r="H2782" s="112"/>
      <c r="I2782" s="112" t="s">
        <v>38</v>
      </c>
      <c r="J2782" s="73" t="s">
        <v>3131</v>
      </c>
      <c r="K2782" s="112"/>
    </row>
    <row r="2783" outlineLevel="1" spans="2:11">
      <c r="B2783" s="50" t="str">
        <f t="shared" si="62"/>
        <v>9046</v>
      </c>
      <c r="C2783" s="158"/>
      <c r="D2783" s="159"/>
      <c r="E2783" s="159"/>
      <c r="F2783" s="159"/>
      <c r="G2783" s="159"/>
      <c r="H2783" s="159"/>
      <c r="I2783" s="159"/>
      <c r="J2783" s="74"/>
      <c r="K2783" s="159"/>
    </row>
    <row r="2784" outlineLevel="1" spans="2:10">
      <c r="B2784" s="50" t="str">
        <f t="shared" si="62"/>
        <v>9047</v>
      </c>
      <c r="C2784" s="52" t="s">
        <v>3132</v>
      </c>
      <c r="D2784" s="22" t="s">
        <v>89</v>
      </c>
      <c r="I2784" s="22" t="s">
        <v>38</v>
      </c>
      <c r="J2784" s="72" t="s">
        <v>3133</v>
      </c>
    </row>
    <row r="2785" outlineLevel="1" spans="2:10">
      <c r="B2785" s="50" t="str">
        <f t="shared" si="62"/>
        <v>9048</v>
      </c>
      <c r="C2785" s="52" t="s">
        <v>3134</v>
      </c>
      <c r="D2785" s="22" t="s">
        <v>89</v>
      </c>
      <c r="I2785" s="22" t="s">
        <v>38</v>
      </c>
      <c r="J2785" s="72" t="s">
        <v>3135</v>
      </c>
    </row>
    <row r="2786" outlineLevel="1" spans="2:10">
      <c r="B2786" s="50" t="str">
        <f t="shared" si="62"/>
        <v>9049</v>
      </c>
      <c r="C2786" s="52" t="s">
        <v>3136</v>
      </c>
      <c r="D2786" s="22" t="s">
        <v>89</v>
      </c>
      <c r="I2786" s="22" t="s">
        <v>38</v>
      </c>
      <c r="J2786" s="72" t="s">
        <v>3137</v>
      </c>
    </row>
    <row r="2787" outlineLevel="1" spans="2:10">
      <c r="B2787" s="50" t="str">
        <f t="shared" si="62"/>
        <v>904A</v>
      </c>
      <c r="C2787" s="52" t="s">
        <v>3138</v>
      </c>
      <c r="D2787" s="22" t="s">
        <v>89</v>
      </c>
      <c r="I2787" s="22" t="s">
        <v>38</v>
      </c>
      <c r="J2787" s="72" t="s">
        <v>3139</v>
      </c>
    </row>
    <row r="2788" outlineLevel="1" spans="2:10">
      <c r="B2788" s="50" t="str">
        <f t="shared" si="62"/>
        <v>904B</v>
      </c>
      <c r="C2788" s="52" t="s">
        <v>3140</v>
      </c>
      <c r="D2788" s="22" t="s">
        <v>89</v>
      </c>
      <c r="I2788" s="22" t="s">
        <v>38</v>
      </c>
      <c r="J2788" s="72" t="s">
        <v>3141</v>
      </c>
    </row>
    <row r="2789" outlineLevel="1" spans="2:10">
      <c r="B2789" s="50" t="str">
        <f t="shared" si="62"/>
        <v>904C</v>
      </c>
      <c r="C2789" s="52" t="s">
        <v>3142</v>
      </c>
      <c r="D2789" s="22" t="s">
        <v>89</v>
      </c>
      <c r="I2789" s="22" t="s">
        <v>38</v>
      </c>
      <c r="J2789" s="72" t="s">
        <v>3143</v>
      </c>
    </row>
    <row r="2790" outlineLevel="1" spans="2:10">
      <c r="B2790" s="50" t="str">
        <f t="shared" si="62"/>
        <v>904D</v>
      </c>
      <c r="C2790" s="52" t="s">
        <v>3144</v>
      </c>
      <c r="D2790" s="22" t="s">
        <v>89</v>
      </c>
      <c r="I2790" s="22" t="s">
        <v>38</v>
      </c>
      <c r="J2790" s="72" t="s">
        <v>3145</v>
      </c>
    </row>
    <row r="2791" outlineLevel="1" spans="2:10">
      <c r="B2791" s="50" t="str">
        <f t="shared" si="62"/>
        <v>904E</v>
      </c>
      <c r="C2791" s="52" t="s">
        <v>3146</v>
      </c>
      <c r="D2791" s="22" t="s">
        <v>89</v>
      </c>
      <c r="I2791" s="22" t="s">
        <v>38</v>
      </c>
      <c r="J2791" s="72" t="s">
        <v>3147</v>
      </c>
    </row>
    <row r="2792" outlineLevel="1" spans="2:10">
      <c r="B2792" s="50" t="str">
        <f t="shared" si="62"/>
        <v>904F</v>
      </c>
      <c r="C2792" s="52" t="s">
        <v>3148</v>
      </c>
      <c r="D2792" s="22" t="s">
        <v>89</v>
      </c>
      <c r="I2792" s="22" t="s">
        <v>38</v>
      </c>
      <c r="J2792" s="72" t="s">
        <v>3149</v>
      </c>
    </row>
    <row r="2793" outlineLevel="1" spans="2:10">
      <c r="B2793" s="50" t="str">
        <f t="shared" si="62"/>
        <v>9050</v>
      </c>
      <c r="C2793" s="52" t="s">
        <v>3150</v>
      </c>
      <c r="D2793" s="22" t="s">
        <v>89</v>
      </c>
      <c r="I2793" s="22" t="s">
        <v>38</v>
      </c>
      <c r="J2793" s="72" t="s">
        <v>3151</v>
      </c>
    </row>
    <row r="2794" outlineLevel="1" spans="2:10">
      <c r="B2794" s="50" t="str">
        <f t="shared" si="62"/>
        <v>9051</v>
      </c>
      <c r="C2794" s="52" t="s">
        <v>3152</v>
      </c>
      <c r="D2794" s="22" t="s">
        <v>89</v>
      </c>
      <c r="E2794" s="22">
        <v>0.001</v>
      </c>
      <c r="F2794" s="160" t="s">
        <v>44</v>
      </c>
      <c r="I2794" s="22" t="s">
        <v>38</v>
      </c>
      <c r="J2794" s="72" t="s">
        <v>3153</v>
      </c>
    </row>
    <row r="2795" outlineLevel="1" spans="2:10">
      <c r="B2795" s="50" t="str">
        <f t="shared" si="62"/>
        <v>9052</v>
      </c>
      <c r="C2795" s="52" t="s">
        <v>3154</v>
      </c>
      <c r="D2795" s="22" t="s">
        <v>89</v>
      </c>
      <c r="E2795" s="22">
        <v>0.001</v>
      </c>
      <c r="F2795" s="160" t="s">
        <v>44</v>
      </c>
      <c r="I2795" s="22" t="s">
        <v>38</v>
      </c>
      <c r="J2795" s="72" t="s">
        <v>3155</v>
      </c>
    </row>
    <row r="2796" outlineLevel="1" spans="2:10">
      <c r="B2796" s="50" t="str">
        <f t="shared" si="62"/>
        <v>9053</v>
      </c>
      <c r="C2796" s="52" t="s">
        <v>3156</v>
      </c>
      <c r="D2796" s="22" t="s">
        <v>89</v>
      </c>
      <c r="E2796" s="22">
        <v>0.001</v>
      </c>
      <c r="F2796" s="160" t="s">
        <v>44</v>
      </c>
      <c r="I2796" s="22" t="s">
        <v>38</v>
      </c>
      <c r="J2796" s="72" t="s">
        <v>3157</v>
      </c>
    </row>
    <row r="2797" outlineLevel="1" spans="2:10">
      <c r="B2797" s="50" t="str">
        <f t="shared" si="62"/>
        <v>9054</v>
      </c>
      <c r="C2797" s="52" t="s">
        <v>3158</v>
      </c>
      <c r="D2797" s="22" t="s">
        <v>89</v>
      </c>
      <c r="E2797" s="22">
        <v>0.001</v>
      </c>
      <c r="F2797" s="160" t="s">
        <v>44</v>
      </c>
      <c r="I2797" s="22" t="s">
        <v>38</v>
      </c>
      <c r="J2797" s="72" t="s">
        <v>3159</v>
      </c>
    </row>
    <row r="2798" outlineLevel="1" spans="2:10">
      <c r="B2798" s="50" t="str">
        <f t="shared" si="62"/>
        <v>9055</v>
      </c>
      <c r="C2798" s="52" t="s">
        <v>3160</v>
      </c>
      <c r="D2798" s="22" t="s">
        <v>89</v>
      </c>
      <c r="E2798" s="22">
        <v>0.001</v>
      </c>
      <c r="F2798" s="160" t="s">
        <v>44</v>
      </c>
      <c r="I2798" s="22" t="s">
        <v>38</v>
      </c>
      <c r="J2798" s="72" t="s">
        <v>3161</v>
      </c>
    </row>
    <row r="2799" outlineLevel="1" spans="2:10">
      <c r="B2799" s="50" t="str">
        <f t="shared" si="62"/>
        <v>9056</v>
      </c>
      <c r="C2799" s="52" t="s">
        <v>3162</v>
      </c>
      <c r="D2799" s="22" t="s">
        <v>89</v>
      </c>
      <c r="E2799" s="22">
        <v>0.001</v>
      </c>
      <c r="F2799" s="160" t="s">
        <v>44</v>
      </c>
      <c r="I2799" s="22" t="s">
        <v>38</v>
      </c>
      <c r="J2799" s="72" t="s">
        <v>3163</v>
      </c>
    </row>
    <row r="2800" outlineLevel="1" spans="2:10">
      <c r="B2800" s="50" t="str">
        <f t="shared" si="62"/>
        <v>9057</v>
      </c>
      <c r="C2800" s="52" t="s">
        <v>3164</v>
      </c>
      <c r="D2800" s="22" t="s">
        <v>89</v>
      </c>
      <c r="E2800" s="22">
        <v>0.001</v>
      </c>
      <c r="F2800" s="160" t="s">
        <v>44</v>
      </c>
      <c r="I2800" s="22" t="s">
        <v>38</v>
      </c>
      <c r="J2800" s="72" t="s">
        <v>3165</v>
      </c>
    </row>
    <row r="2801" outlineLevel="1" spans="2:10">
      <c r="B2801" s="50" t="str">
        <f t="shared" si="62"/>
        <v>9058</v>
      </c>
      <c r="C2801" s="52" t="s">
        <v>3166</v>
      </c>
      <c r="D2801" s="22" t="s">
        <v>89</v>
      </c>
      <c r="E2801" s="22">
        <v>0.001</v>
      </c>
      <c r="F2801" s="160" t="s">
        <v>44</v>
      </c>
      <c r="I2801" s="22" t="s">
        <v>38</v>
      </c>
      <c r="J2801" s="72" t="s">
        <v>3167</v>
      </c>
    </row>
    <row r="2802" outlineLevel="1" spans="2:10">
      <c r="B2802" s="50" t="str">
        <f t="shared" si="62"/>
        <v>9059</v>
      </c>
      <c r="C2802" s="52" t="s">
        <v>3168</v>
      </c>
      <c r="D2802" s="22" t="s">
        <v>89</v>
      </c>
      <c r="E2802" s="22">
        <v>0.001</v>
      </c>
      <c r="F2802" s="160" t="s">
        <v>44</v>
      </c>
      <c r="I2802" s="22" t="s">
        <v>38</v>
      </c>
      <c r="J2802" s="72" t="s">
        <v>3169</v>
      </c>
    </row>
    <row r="2803" outlineLevel="1" spans="2:10">
      <c r="B2803" s="50" t="str">
        <f t="shared" si="62"/>
        <v>905A</v>
      </c>
      <c r="C2803" s="52" t="s">
        <v>3170</v>
      </c>
      <c r="D2803" s="22" t="s">
        <v>89</v>
      </c>
      <c r="E2803" s="22">
        <v>0.001</v>
      </c>
      <c r="F2803" s="160" t="s">
        <v>44</v>
      </c>
      <c r="I2803" s="22" t="s">
        <v>38</v>
      </c>
      <c r="J2803" s="72" t="s">
        <v>3171</v>
      </c>
    </row>
    <row r="2804" outlineLevel="1" spans="2:10">
      <c r="B2804" s="50" t="str">
        <f t="shared" si="62"/>
        <v>905B</v>
      </c>
      <c r="C2804" s="52" t="s">
        <v>3172</v>
      </c>
      <c r="D2804" s="22" t="s">
        <v>89</v>
      </c>
      <c r="E2804" s="22">
        <v>0.001</v>
      </c>
      <c r="F2804" s="160" t="s">
        <v>44</v>
      </c>
      <c r="I2804" s="22" t="s">
        <v>38</v>
      </c>
      <c r="J2804" s="72" t="s">
        <v>3173</v>
      </c>
    </row>
    <row r="2805" outlineLevel="1" spans="2:10">
      <c r="B2805" s="50" t="str">
        <f t="shared" si="62"/>
        <v>905C</v>
      </c>
      <c r="C2805" s="52" t="s">
        <v>3174</v>
      </c>
      <c r="D2805" s="22" t="s">
        <v>89</v>
      </c>
      <c r="E2805" s="22">
        <v>0.001</v>
      </c>
      <c r="F2805" s="160" t="s">
        <v>44</v>
      </c>
      <c r="I2805" s="22" t="s">
        <v>38</v>
      </c>
      <c r="J2805" s="72" t="s">
        <v>3175</v>
      </c>
    </row>
    <row r="2806" outlineLevel="1" spans="2:10">
      <c r="B2806" s="50" t="str">
        <f t="shared" si="62"/>
        <v>905D</v>
      </c>
      <c r="C2806" s="52" t="s">
        <v>3176</v>
      </c>
      <c r="D2806" s="22" t="s">
        <v>89</v>
      </c>
      <c r="E2806" s="22">
        <v>0.001</v>
      </c>
      <c r="F2806" s="160" t="s">
        <v>44</v>
      </c>
      <c r="I2806" s="22" t="s">
        <v>38</v>
      </c>
      <c r="J2806" s="72" t="s">
        <v>3177</v>
      </c>
    </row>
    <row r="2807" outlineLevel="1" spans="2:10">
      <c r="B2807" s="50" t="str">
        <f t="shared" si="62"/>
        <v>905E</v>
      </c>
      <c r="C2807" s="52" t="s">
        <v>3178</v>
      </c>
      <c r="D2807" s="22" t="s">
        <v>89</v>
      </c>
      <c r="E2807" s="22">
        <v>0.001</v>
      </c>
      <c r="F2807" s="160" t="s">
        <v>44</v>
      </c>
      <c r="I2807" s="22" t="s">
        <v>38</v>
      </c>
      <c r="J2807" s="72" t="s">
        <v>3179</v>
      </c>
    </row>
    <row r="2808" outlineLevel="1" spans="2:10">
      <c r="B2808" s="50" t="str">
        <f t="shared" si="62"/>
        <v>905F</v>
      </c>
      <c r="C2808" s="52" t="s">
        <v>3180</v>
      </c>
      <c r="D2808" s="22" t="s">
        <v>89</v>
      </c>
      <c r="E2808" s="22">
        <v>0.001</v>
      </c>
      <c r="F2808" s="160" t="s">
        <v>44</v>
      </c>
      <c r="I2808" s="22" t="s">
        <v>38</v>
      </c>
      <c r="J2808" s="72" t="s">
        <v>3181</v>
      </c>
    </row>
    <row r="2809" outlineLevel="1" spans="2:10">
      <c r="B2809" s="50" t="str">
        <f t="shared" ref="B2809:B2840" si="63">DEC2HEX(36864+ROW()-ROW($B$2713),4)</f>
        <v>9060</v>
      </c>
      <c r="C2809" s="52" t="s">
        <v>3182</v>
      </c>
      <c r="D2809" s="22" t="s">
        <v>89</v>
      </c>
      <c r="E2809" s="22">
        <v>0.001</v>
      </c>
      <c r="F2809" s="160" t="s">
        <v>44</v>
      </c>
      <c r="I2809" s="22" t="s">
        <v>38</v>
      </c>
      <c r="J2809" s="72" t="s">
        <v>3183</v>
      </c>
    </row>
    <row r="2810" outlineLevel="1" spans="2:10">
      <c r="B2810" s="50" t="str">
        <f t="shared" si="63"/>
        <v>9061</v>
      </c>
      <c r="C2810" s="52" t="s">
        <v>3184</v>
      </c>
      <c r="D2810" s="22" t="s">
        <v>89</v>
      </c>
      <c r="E2810" s="22">
        <v>0.001</v>
      </c>
      <c r="F2810" s="160" t="s">
        <v>44</v>
      </c>
      <c r="I2810" s="22" t="s">
        <v>38</v>
      </c>
      <c r="J2810" s="72" t="s">
        <v>3185</v>
      </c>
    </row>
    <row r="2811" outlineLevel="1" spans="2:10">
      <c r="B2811" s="50" t="str">
        <f t="shared" si="63"/>
        <v>9062</v>
      </c>
      <c r="C2811" s="52" t="s">
        <v>3186</v>
      </c>
      <c r="D2811" s="22" t="s">
        <v>89</v>
      </c>
      <c r="E2811" s="22">
        <v>0.001</v>
      </c>
      <c r="F2811" s="160" t="s">
        <v>44</v>
      </c>
      <c r="I2811" s="22" t="s">
        <v>38</v>
      </c>
      <c r="J2811" s="72" t="s">
        <v>3187</v>
      </c>
    </row>
    <row r="2812" outlineLevel="1" spans="2:10">
      <c r="B2812" s="50" t="str">
        <f t="shared" si="63"/>
        <v>9063</v>
      </c>
      <c r="C2812" s="52" t="s">
        <v>3188</v>
      </c>
      <c r="D2812" s="22" t="s">
        <v>89</v>
      </c>
      <c r="E2812" s="22">
        <v>0.001</v>
      </c>
      <c r="F2812" s="160" t="s">
        <v>44</v>
      </c>
      <c r="I2812" s="22" t="s">
        <v>38</v>
      </c>
      <c r="J2812" s="72" t="s">
        <v>3189</v>
      </c>
    </row>
    <row r="2813" outlineLevel="1" spans="2:10">
      <c r="B2813" s="50" t="str">
        <f t="shared" si="63"/>
        <v>9064</v>
      </c>
      <c r="C2813" s="52" t="s">
        <v>3190</v>
      </c>
      <c r="D2813" s="22" t="s">
        <v>89</v>
      </c>
      <c r="E2813" s="22">
        <v>0.001</v>
      </c>
      <c r="F2813" s="160" t="s">
        <v>44</v>
      </c>
      <c r="I2813" s="22" t="s">
        <v>38</v>
      </c>
      <c r="J2813" s="72" t="s">
        <v>3191</v>
      </c>
    </row>
    <row r="2814" outlineLevel="1" spans="2:10">
      <c r="B2814" s="50" t="str">
        <f t="shared" si="63"/>
        <v>9065</v>
      </c>
      <c r="C2814" s="52" t="s">
        <v>3192</v>
      </c>
      <c r="D2814" s="22" t="s">
        <v>89</v>
      </c>
      <c r="E2814" s="22">
        <v>0.001</v>
      </c>
      <c r="F2814" s="160" t="s">
        <v>44</v>
      </c>
      <c r="I2814" s="22" t="s">
        <v>38</v>
      </c>
      <c r="J2814" s="72" t="s">
        <v>3193</v>
      </c>
    </row>
    <row r="2815" outlineLevel="1" spans="2:10">
      <c r="B2815" s="50" t="str">
        <f t="shared" si="63"/>
        <v>9066</v>
      </c>
      <c r="C2815" s="52" t="s">
        <v>3194</v>
      </c>
      <c r="D2815" s="22" t="s">
        <v>89</v>
      </c>
      <c r="E2815" s="22">
        <v>0.001</v>
      </c>
      <c r="F2815" s="160" t="s">
        <v>44</v>
      </c>
      <c r="I2815" s="22" t="s">
        <v>38</v>
      </c>
      <c r="J2815" s="72" t="s">
        <v>3195</v>
      </c>
    </row>
    <row r="2816" outlineLevel="1" spans="2:10">
      <c r="B2816" s="50" t="str">
        <f t="shared" si="63"/>
        <v>9067</v>
      </c>
      <c r="C2816" s="52" t="s">
        <v>3196</v>
      </c>
      <c r="D2816" s="22" t="s">
        <v>89</v>
      </c>
      <c r="E2816" s="22">
        <v>0.001</v>
      </c>
      <c r="F2816" s="160" t="s">
        <v>44</v>
      </c>
      <c r="I2816" s="22" t="s">
        <v>38</v>
      </c>
      <c r="J2816" s="72" t="s">
        <v>3197</v>
      </c>
    </row>
    <row r="2817" outlineLevel="1" spans="2:10">
      <c r="B2817" s="50" t="str">
        <f t="shared" si="63"/>
        <v>9068</v>
      </c>
      <c r="C2817" s="52" t="s">
        <v>3198</v>
      </c>
      <c r="D2817" s="22" t="s">
        <v>89</v>
      </c>
      <c r="E2817" s="22">
        <v>0.001</v>
      </c>
      <c r="F2817" s="160" t="s">
        <v>44</v>
      </c>
      <c r="I2817" s="22" t="s">
        <v>38</v>
      </c>
      <c r="J2817" s="72" t="s">
        <v>3199</v>
      </c>
    </row>
    <row r="2818" outlineLevel="1" spans="2:10">
      <c r="B2818" s="50" t="str">
        <f t="shared" si="63"/>
        <v>9069</v>
      </c>
      <c r="C2818" s="52" t="s">
        <v>3200</v>
      </c>
      <c r="D2818" s="22" t="s">
        <v>89</v>
      </c>
      <c r="E2818" s="22">
        <v>0.001</v>
      </c>
      <c r="F2818" s="160" t="s">
        <v>44</v>
      </c>
      <c r="I2818" s="22" t="s">
        <v>38</v>
      </c>
      <c r="J2818" s="72" t="s">
        <v>3201</v>
      </c>
    </row>
    <row r="2819" outlineLevel="1" spans="2:10">
      <c r="B2819" s="50" t="str">
        <f t="shared" si="63"/>
        <v>906A</v>
      </c>
      <c r="C2819" s="52" t="s">
        <v>3202</v>
      </c>
      <c r="D2819" s="22" t="s">
        <v>89</v>
      </c>
      <c r="E2819" s="22">
        <v>0.001</v>
      </c>
      <c r="F2819" s="160" t="s">
        <v>44</v>
      </c>
      <c r="I2819" s="22" t="s">
        <v>38</v>
      </c>
      <c r="J2819" s="72" t="s">
        <v>3203</v>
      </c>
    </row>
    <row r="2820" outlineLevel="1" spans="2:10">
      <c r="B2820" s="50" t="str">
        <f t="shared" si="63"/>
        <v>906B</v>
      </c>
      <c r="C2820" s="52" t="s">
        <v>3204</v>
      </c>
      <c r="D2820" s="22" t="s">
        <v>131</v>
      </c>
      <c r="E2820" s="22">
        <v>0.1</v>
      </c>
      <c r="F2820" s="70" t="s">
        <v>581</v>
      </c>
      <c r="I2820" s="22" t="s">
        <v>38</v>
      </c>
      <c r="J2820" s="72" t="s">
        <v>3205</v>
      </c>
    </row>
    <row r="2821" outlineLevel="1" spans="2:10">
      <c r="B2821" s="50" t="str">
        <f t="shared" si="63"/>
        <v>906C</v>
      </c>
      <c r="C2821" s="52" t="s">
        <v>3206</v>
      </c>
      <c r="D2821" s="22" t="s">
        <v>131</v>
      </c>
      <c r="E2821" s="22">
        <v>0.1</v>
      </c>
      <c r="F2821" s="70" t="s">
        <v>581</v>
      </c>
      <c r="I2821" s="22" t="s">
        <v>38</v>
      </c>
      <c r="J2821" s="72" t="s">
        <v>3207</v>
      </c>
    </row>
    <row r="2822" outlineLevel="1" spans="2:10">
      <c r="B2822" s="50" t="str">
        <f t="shared" si="63"/>
        <v>906D</v>
      </c>
      <c r="C2822" s="52" t="s">
        <v>3208</v>
      </c>
      <c r="D2822" s="22" t="s">
        <v>131</v>
      </c>
      <c r="E2822" s="22">
        <v>0.1</v>
      </c>
      <c r="F2822" s="70" t="s">
        <v>581</v>
      </c>
      <c r="I2822" s="22" t="s">
        <v>38</v>
      </c>
      <c r="J2822" s="72" t="s">
        <v>3209</v>
      </c>
    </row>
    <row r="2823" outlineLevel="1" spans="2:10">
      <c r="B2823" s="50" t="str">
        <f t="shared" si="63"/>
        <v>906E</v>
      </c>
      <c r="C2823" s="52" t="s">
        <v>3210</v>
      </c>
      <c r="D2823" s="22" t="s">
        <v>131</v>
      </c>
      <c r="E2823" s="22">
        <v>0.1</v>
      </c>
      <c r="F2823" s="70" t="s">
        <v>581</v>
      </c>
      <c r="I2823" s="22" t="s">
        <v>38</v>
      </c>
      <c r="J2823" s="72" t="s">
        <v>3211</v>
      </c>
    </row>
    <row r="2824" outlineLevel="1" spans="2:10">
      <c r="B2824" s="50" t="str">
        <f t="shared" si="63"/>
        <v>906F</v>
      </c>
      <c r="C2824" s="52" t="s">
        <v>3212</v>
      </c>
      <c r="D2824" s="22" t="s">
        <v>131</v>
      </c>
      <c r="E2824" s="22">
        <v>0.1</v>
      </c>
      <c r="F2824" s="70" t="s">
        <v>581</v>
      </c>
      <c r="I2824" s="22" t="s">
        <v>38</v>
      </c>
      <c r="J2824" s="72" t="s">
        <v>3213</v>
      </c>
    </row>
    <row r="2825" outlineLevel="1" spans="2:10">
      <c r="B2825" s="50" t="str">
        <f t="shared" si="63"/>
        <v>9070</v>
      </c>
      <c r="C2825" s="52" t="s">
        <v>3214</v>
      </c>
      <c r="D2825" s="22" t="s">
        <v>131</v>
      </c>
      <c r="E2825" s="22">
        <v>0.1</v>
      </c>
      <c r="F2825" s="70" t="s">
        <v>581</v>
      </c>
      <c r="I2825" s="22" t="s">
        <v>38</v>
      </c>
      <c r="J2825" s="72" t="s">
        <v>3215</v>
      </c>
    </row>
    <row r="2826" outlineLevel="1" spans="2:10">
      <c r="B2826" s="50" t="str">
        <f t="shared" si="63"/>
        <v>9071</v>
      </c>
      <c r="C2826" s="52" t="s">
        <v>3216</v>
      </c>
      <c r="D2826" s="22" t="s">
        <v>131</v>
      </c>
      <c r="E2826" s="22">
        <v>0.1</v>
      </c>
      <c r="F2826" s="160" t="s">
        <v>303</v>
      </c>
      <c r="I2826" s="22" t="s">
        <v>38</v>
      </c>
      <c r="J2826" s="72" t="s">
        <v>3217</v>
      </c>
    </row>
    <row r="2827" outlineLevel="1" spans="2:10">
      <c r="B2827" s="50" t="str">
        <f t="shared" si="63"/>
        <v>9072</v>
      </c>
      <c r="C2827" s="52" t="s">
        <v>3218</v>
      </c>
      <c r="D2827" s="22" t="s">
        <v>89</v>
      </c>
      <c r="E2827" s="22">
        <v>0.1</v>
      </c>
      <c r="F2827" s="160" t="s">
        <v>3219</v>
      </c>
      <c r="I2827" s="22" t="s">
        <v>38</v>
      </c>
      <c r="J2827" s="72" t="s">
        <v>3220</v>
      </c>
    </row>
    <row r="2828" outlineLevel="1" spans="2:10">
      <c r="B2828" s="50" t="str">
        <f t="shared" si="63"/>
        <v>9073</v>
      </c>
      <c r="C2828" s="52" t="s">
        <v>3221</v>
      </c>
      <c r="D2828" s="22" t="s">
        <v>89</v>
      </c>
      <c r="E2828" s="22">
        <v>0.1</v>
      </c>
      <c r="F2828" s="160" t="s">
        <v>3219</v>
      </c>
      <c r="I2828" s="22" t="s">
        <v>38</v>
      </c>
      <c r="J2828" s="72" t="s">
        <v>3222</v>
      </c>
    </row>
    <row r="2829" outlineLevel="1" spans="2:10">
      <c r="B2829" s="50" t="str">
        <f t="shared" si="63"/>
        <v>9074</v>
      </c>
      <c r="C2829" s="52" t="s">
        <v>3223</v>
      </c>
      <c r="D2829" s="22" t="s">
        <v>89</v>
      </c>
      <c r="E2829" s="22">
        <v>1</v>
      </c>
      <c r="F2829" s="160" t="s">
        <v>3224</v>
      </c>
      <c r="I2829" s="22" t="s">
        <v>38</v>
      </c>
      <c r="J2829" s="72" t="s">
        <v>3225</v>
      </c>
    </row>
    <row r="2830" outlineLevel="1" spans="2:10">
      <c r="B2830" s="50" t="str">
        <f t="shared" si="63"/>
        <v>9075</v>
      </c>
      <c r="C2830" s="52" t="s">
        <v>3226</v>
      </c>
      <c r="D2830" s="22" t="s">
        <v>89</v>
      </c>
      <c r="I2830" s="22" t="s">
        <v>38</v>
      </c>
      <c r="J2830" s="72" t="s">
        <v>3227</v>
      </c>
    </row>
    <row r="2831" outlineLevel="1" spans="2:10">
      <c r="B2831" s="50" t="str">
        <f t="shared" si="63"/>
        <v>9076</v>
      </c>
      <c r="C2831" s="52" t="s">
        <v>3228</v>
      </c>
      <c r="D2831" s="22" t="s">
        <v>89</v>
      </c>
      <c r="I2831" s="22" t="s">
        <v>38</v>
      </c>
      <c r="J2831" s="72" t="s">
        <v>3229</v>
      </c>
    </row>
    <row r="2832" outlineLevel="1" spans="2:10">
      <c r="B2832" s="50" t="str">
        <f t="shared" si="63"/>
        <v>9077</v>
      </c>
      <c r="C2832" s="52" t="s">
        <v>3230</v>
      </c>
      <c r="D2832" s="22" t="s">
        <v>89</v>
      </c>
      <c r="I2832" s="22" t="s">
        <v>38</v>
      </c>
      <c r="J2832" s="72" t="s">
        <v>3231</v>
      </c>
    </row>
    <row r="2833" outlineLevel="1" spans="2:10">
      <c r="B2833" s="50" t="str">
        <f t="shared" si="63"/>
        <v>9078</v>
      </c>
      <c r="C2833" s="52" t="s">
        <v>3232</v>
      </c>
      <c r="D2833" s="22" t="s">
        <v>89</v>
      </c>
      <c r="I2833" s="22" t="s">
        <v>38</v>
      </c>
      <c r="J2833" s="72" t="s">
        <v>3233</v>
      </c>
    </row>
    <row r="2834" outlineLevel="1" spans="2:10">
      <c r="B2834" s="50" t="str">
        <f t="shared" si="63"/>
        <v>9079</v>
      </c>
      <c r="C2834" s="52" t="s">
        <v>3234</v>
      </c>
      <c r="D2834" s="22" t="s">
        <v>89</v>
      </c>
      <c r="E2834" s="22">
        <v>0.01</v>
      </c>
      <c r="F2834" s="160" t="s">
        <v>44</v>
      </c>
      <c r="I2834" s="22" t="s">
        <v>38</v>
      </c>
      <c r="J2834" s="72" t="s">
        <v>3235</v>
      </c>
    </row>
    <row r="2835" outlineLevel="1" spans="2:10">
      <c r="B2835" s="50" t="str">
        <f t="shared" si="63"/>
        <v>907A</v>
      </c>
      <c r="C2835" s="51" t="s">
        <v>3236</v>
      </c>
      <c r="D2835" s="22" t="s">
        <v>89</v>
      </c>
      <c r="E2835" s="22">
        <v>1</v>
      </c>
      <c r="F2835" s="160" t="s">
        <v>584</v>
      </c>
      <c r="I2835" s="22" t="s">
        <v>38</v>
      </c>
      <c r="J2835" s="72" t="s">
        <v>3237</v>
      </c>
    </row>
    <row r="2836" outlineLevel="1" spans="2:2">
      <c r="B2836" s="50" t="str">
        <f t="shared" si="63"/>
        <v>907B</v>
      </c>
    </row>
    <row r="2837" outlineLevel="1" spans="2:2">
      <c r="B2837" s="50" t="str">
        <f t="shared" si="63"/>
        <v>907C</v>
      </c>
    </row>
    <row r="2838" outlineLevel="1" spans="2:2">
      <c r="B2838" s="50" t="str">
        <f t="shared" si="63"/>
        <v>907D</v>
      </c>
    </row>
    <row r="2839" outlineLevel="1" spans="2:2">
      <c r="B2839" s="50" t="str">
        <f t="shared" si="63"/>
        <v>907E</v>
      </c>
    </row>
    <row r="2840" outlineLevel="1" spans="2:2">
      <c r="B2840" s="50" t="str">
        <f t="shared" si="63"/>
        <v>907F</v>
      </c>
    </row>
    <row r="2841" outlineLevel="1" spans="2:10">
      <c r="B2841" s="50" t="str">
        <f t="shared" ref="B2841:B2872" si="64">DEC2HEX(36864+ROW()-ROW($B$2713),4)</f>
        <v>9080</v>
      </c>
      <c r="C2841" s="78" t="s">
        <v>3238</v>
      </c>
      <c r="D2841" s="47" t="s">
        <v>59</v>
      </c>
      <c r="E2841" s="47"/>
      <c r="F2841" s="47"/>
      <c r="G2841" s="47"/>
      <c r="H2841" s="47"/>
      <c r="I2841" s="47" t="s">
        <v>38</v>
      </c>
      <c r="J2841" s="72" t="s">
        <v>400</v>
      </c>
    </row>
    <row r="2842" outlineLevel="1" spans="2:10">
      <c r="B2842" s="50" t="str">
        <f t="shared" si="64"/>
        <v>9081</v>
      </c>
      <c r="C2842" s="78"/>
      <c r="D2842" s="47"/>
      <c r="E2842" s="47"/>
      <c r="F2842" s="47"/>
      <c r="G2842" s="47"/>
      <c r="H2842" s="47"/>
      <c r="I2842" s="47"/>
      <c r="J2842" s="72"/>
    </row>
    <row r="2843" outlineLevel="1" spans="2:10">
      <c r="B2843" s="50" t="str">
        <f t="shared" si="64"/>
        <v>9082</v>
      </c>
      <c r="C2843" s="78"/>
      <c r="D2843" s="47"/>
      <c r="E2843" s="47"/>
      <c r="F2843" s="47"/>
      <c r="G2843" s="47"/>
      <c r="H2843" s="47"/>
      <c r="I2843" s="47"/>
      <c r="J2843" s="72"/>
    </row>
    <row r="2844" ht="50" customHeight="1" outlineLevel="1" spans="2:10">
      <c r="B2844" s="50" t="str">
        <f t="shared" si="64"/>
        <v>9083</v>
      </c>
      <c r="C2844" s="78"/>
      <c r="D2844" s="47"/>
      <c r="E2844" s="47"/>
      <c r="F2844" s="47"/>
      <c r="G2844" s="47"/>
      <c r="H2844" s="47"/>
      <c r="I2844" s="47"/>
      <c r="J2844" s="72"/>
    </row>
    <row r="2845" ht="147" customHeight="1" outlineLevel="1" spans="2:10">
      <c r="B2845" s="50" t="str">
        <f t="shared" si="64"/>
        <v>9084</v>
      </c>
      <c r="C2845" s="52" t="s">
        <v>3239</v>
      </c>
      <c r="D2845" s="22" t="s">
        <v>89</v>
      </c>
      <c r="I2845" s="160" t="s">
        <v>38</v>
      </c>
      <c r="J2845" s="72" t="s">
        <v>3240</v>
      </c>
    </row>
    <row r="2846" outlineLevel="1" spans="2:11">
      <c r="B2846" s="50" t="str">
        <f t="shared" si="64"/>
        <v>9085</v>
      </c>
      <c r="C2846" s="157" t="s">
        <v>3241</v>
      </c>
      <c r="D2846" s="112" t="s">
        <v>164</v>
      </c>
      <c r="E2846" s="112"/>
      <c r="F2846" s="112"/>
      <c r="G2846" s="112"/>
      <c r="H2846" s="112"/>
      <c r="I2846" s="112" t="s">
        <v>38</v>
      </c>
      <c r="J2846" s="73" t="s">
        <v>3242</v>
      </c>
      <c r="K2846" s="112"/>
    </row>
    <row r="2847" outlineLevel="1" spans="2:11">
      <c r="B2847" s="50" t="str">
        <f t="shared" si="64"/>
        <v>9086</v>
      </c>
      <c r="C2847" s="158"/>
      <c r="D2847" s="159"/>
      <c r="E2847" s="159"/>
      <c r="F2847" s="159"/>
      <c r="G2847" s="159"/>
      <c r="H2847" s="159"/>
      <c r="I2847" s="159"/>
      <c r="J2847" s="74"/>
      <c r="K2847" s="159"/>
    </row>
    <row r="2848" outlineLevel="1" spans="2:10">
      <c r="B2848" s="50" t="str">
        <f t="shared" si="64"/>
        <v>9087</v>
      </c>
      <c r="C2848" s="52" t="s">
        <v>3243</v>
      </c>
      <c r="D2848" s="22" t="s">
        <v>89</v>
      </c>
      <c r="I2848" s="22" t="s">
        <v>38</v>
      </c>
      <c r="J2848" s="72" t="s">
        <v>3133</v>
      </c>
    </row>
    <row r="2849" outlineLevel="1" spans="2:10">
      <c r="B2849" s="50" t="str">
        <f t="shared" si="64"/>
        <v>9088</v>
      </c>
      <c r="C2849" s="52" t="s">
        <v>3244</v>
      </c>
      <c r="D2849" s="22" t="s">
        <v>89</v>
      </c>
      <c r="I2849" s="22" t="s">
        <v>38</v>
      </c>
      <c r="J2849" s="72" t="s">
        <v>3135</v>
      </c>
    </row>
    <row r="2850" outlineLevel="1" spans="2:10">
      <c r="B2850" s="50" t="str">
        <f t="shared" si="64"/>
        <v>9089</v>
      </c>
      <c r="C2850" s="52" t="s">
        <v>3245</v>
      </c>
      <c r="D2850" s="22" t="s">
        <v>89</v>
      </c>
      <c r="I2850" s="22" t="s">
        <v>38</v>
      </c>
      <c r="J2850" s="72" t="s">
        <v>3137</v>
      </c>
    </row>
    <row r="2851" outlineLevel="1" spans="2:10">
      <c r="B2851" s="50" t="str">
        <f t="shared" si="64"/>
        <v>908A</v>
      </c>
      <c r="C2851" s="52" t="s">
        <v>3246</v>
      </c>
      <c r="D2851" s="22" t="s">
        <v>89</v>
      </c>
      <c r="I2851" s="22" t="s">
        <v>38</v>
      </c>
      <c r="J2851" s="72" t="s">
        <v>3139</v>
      </c>
    </row>
    <row r="2852" outlineLevel="1" spans="2:10">
      <c r="B2852" s="50" t="str">
        <f t="shared" si="64"/>
        <v>908B</v>
      </c>
      <c r="C2852" s="52" t="s">
        <v>3247</v>
      </c>
      <c r="D2852" s="22" t="s">
        <v>89</v>
      </c>
      <c r="I2852" s="22" t="s">
        <v>38</v>
      </c>
      <c r="J2852" s="72" t="s">
        <v>3141</v>
      </c>
    </row>
    <row r="2853" outlineLevel="1" spans="2:10">
      <c r="B2853" s="50" t="str">
        <f t="shared" si="64"/>
        <v>908C</v>
      </c>
      <c r="C2853" s="52" t="s">
        <v>3248</v>
      </c>
      <c r="D2853" s="22" t="s">
        <v>89</v>
      </c>
      <c r="I2853" s="22" t="s">
        <v>38</v>
      </c>
      <c r="J2853" s="72" t="s">
        <v>3143</v>
      </c>
    </row>
    <row r="2854" outlineLevel="1" spans="2:10">
      <c r="B2854" s="50" t="str">
        <f t="shared" si="64"/>
        <v>908D</v>
      </c>
      <c r="C2854" s="52" t="s">
        <v>3249</v>
      </c>
      <c r="D2854" s="22" t="s">
        <v>89</v>
      </c>
      <c r="I2854" s="22" t="s">
        <v>38</v>
      </c>
      <c r="J2854" s="72" t="s">
        <v>3145</v>
      </c>
    </row>
    <row r="2855" outlineLevel="1" spans="2:10">
      <c r="B2855" s="50" t="str">
        <f t="shared" si="64"/>
        <v>908E</v>
      </c>
      <c r="C2855" s="52" t="s">
        <v>3250</v>
      </c>
      <c r="D2855" s="22" t="s">
        <v>89</v>
      </c>
      <c r="I2855" s="22" t="s">
        <v>38</v>
      </c>
      <c r="J2855" s="72" t="s">
        <v>3147</v>
      </c>
    </row>
    <row r="2856" outlineLevel="1" spans="2:10">
      <c r="B2856" s="50" t="str">
        <f t="shared" si="64"/>
        <v>908F</v>
      </c>
      <c r="C2856" s="52" t="s">
        <v>3251</v>
      </c>
      <c r="D2856" s="22" t="s">
        <v>89</v>
      </c>
      <c r="I2856" s="22" t="s">
        <v>38</v>
      </c>
      <c r="J2856" s="72" t="s">
        <v>3149</v>
      </c>
    </row>
    <row r="2857" outlineLevel="1" spans="2:10">
      <c r="B2857" s="50" t="str">
        <f t="shared" si="64"/>
        <v>9090</v>
      </c>
      <c r="C2857" s="52" t="s">
        <v>3252</v>
      </c>
      <c r="D2857" s="22" t="s">
        <v>89</v>
      </c>
      <c r="I2857" s="22" t="s">
        <v>38</v>
      </c>
      <c r="J2857" s="72" t="s">
        <v>3151</v>
      </c>
    </row>
    <row r="2858" outlineLevel="1" spans="2:10">
      <c r="B2858" s="50" t="str">
        <f t="shared" si="64"/>
        <v>9091</v>
      </c>
      <c r="C2858" s="52" t="s">
        <v>3253</v>
      </c>
      <c r="D2858" s="22" t="s">
        <v>89</v>
      </c>
      <c r="E2858" s="22">
        <v>0.001</v>
      </c>
      <c r="F2858" s="160" t="s">
        <v>44</v>
      </c>
      <c r="I2858" s="22" t="s">
        <v>38</v>
      </c>
      <c r="J2858" s="72" t="s">
        <v>3153</v>
      </c>
    </row>
    <row r="2859" outlineLevel="1" spans="2:10">
      <c r="B2859" s="50" t="str">
        <f t="shared" si="64"/>
        <v>9092</v>
      </c>
      <c r="C2859" s="52" t="s">
        <v>3254</v>
      </c>
      <c r="D2859" s="22" t="s">
        <v>89</v>
      </c>
      <c r="E2859" s="22">
        <v>0.001</v>
      </c>
      <c r="F2859" s="160" t="s">
        <v>44</v>
      </c>
      <c r="I2859" s="22" t="s">
        <v>38</v>
      </c>
      <c r="J2859" s="72" t="s">
        <v>3155</v>
      </c>
    </row>
    <row r="2860" outlineLevel="1" spans="2:10">
      <c r="B2860" s="50" t="str">
        <f t="shared" si="64"/>
        <v>9093</v>
      </c>
      <c r="C2860" s="52" t="s">
        <v>3255</v>
      </c>
      <c r="D2860" s="22" t="s">
        <v>89</v>
      </c>
      <c r="E2860" s="22">
        <v>0.001</v>
      </c>
      <c r="F2860" s="160" t="s">
        <v>44</v>
      </c>
      <c r="I2860" s="22" t="s">
        <v>38</v>
      </c>
      <c r="J2860" s="72" t="s">
        <v>3157</v>
      </c>
    </row>
    <row r="2861" outlineLevel="1" spans="2:10">
      <c r="B2861" s="50" t="str">
        <f t="shared" si="64"/>
        <v>9094</v>
      </c>
      <c r="C2861" s="52" t="s">
        <v>3256</v>
      </c>
      <c r="D2861" s="22" t="s">
        <v>89</v>
      </c>
      <c r="E2861" s="22">
        <v>0.001</v>
      </c>
      <c r="F2861" s="160" t="s">
        <v>44</v>
      </c>
      <c r="I2861" s="22" t="s">
        <v>38</v>
      </c>
      <c r="J2861" s="72" t="s">
        <v>3159</v>
      </c>
    </row>
    <row r="2862" outlineLevel="1" spans="2:10">
      <c r="B2862" s="50" t="str">
        <f t="shared" si="64"/>
        <v>9095</v>
      </c>
      <c r="C2862" s="52" t="s">
        <v>3257</v>
      </c>
      <c r="D2862" s="22" t="s">
        <v>89</v>
      </c>
      <c r="E2862" s="22">
        <v>0.001</v>
      </c>
      <c r="F2862" s="160" t="s">
        <v>44</v>
      </c>
      <c r="I2862" s="22" t="s">
        <v>38</v>
      </c>
      <c r="J2862" s="72" t="s">
        <v>3161</v>
      </c>
    </row>
    <row r="2863" outlineLevel="1" spans="2:10">
      <c r="B2863" s="50" t="str">
        <f t="shared" si="64"/>
        <v>9096</v>
      </c>
      <c r="C2863" s="52" t="s">
        <v>3258</v>
      </c>
      <c r="D2863" s="22" t="s">
        <v>89</v>
      </c>
      <c r="E2863" s="22">
        <v>0.001</v>
      </c>
      <c r="F2863" s="160" t="s">
        <v>44</v>
      </c>
      <c r="I2863" s="22" t="s">
        <v>38</v>
      </c>
      <c r="J2863" s="72" t="s">
        <v>3163</v>
      </c>
    </row>
    <row r="2864" outlineLevel="1" spans="2:10">
      <c r="B2864" s="50" t="str">
        <f t="shared" si="64"/>
        <v>9097</v>
      </c>
      <c r="C2864" s="52" t="s">
        <v>3259</v>
      </c>
      <c r="D2864" s="22" t="s">
        <v>89</v>
      </c>
      <c r="E2864" s="22">
        <v>0.001</v>
      </c>
      <c r="F2864" s="160" t="s">
        <v>44</v>
      </c>
      <c r="I2864" s="22" t="s">
        <v>38</v>
      </c>
      <c r="J2864" s="72" t="s">
        <v>3165</v>
      </c>
    </row>
    <row r="2865" outlineLevel="1" spans="2:10">
      <c r="B2865" s="50" t="str">
        <f t="shared" si="64"/>
        <v>9098</v>
      </c>
      <c r="C2865" s="52" t="s">
        <v>3260</v>
      </c>
      <c r="D2865" s="22" t="s">
        <v>89</v>
      </c>
      <c r="E2865" s="22">
        <v>0.001</v>
      </c>
      <c r="F2865" s="160" t="s">
        <v>44</v>
      </c>
      <c r="I2865" s="22" t="s">
        <v>38</v>
      </c>
      <c r="J2865" s="72" t="s">
        <v>3167</v>
      </c>
    </row>
    <row r="2866" outlineLevel="1" spans="2:10">
      <c r="B2866" s="50" t="str">
        <f t="shared" si="64"/>
        <v>9099</v>
      </c>
      <c r="C2866" s="52" t="s">
        <v>3261</v>
      </c>
      <c r="D2866" s="22" t="s">
        <v>89</v>
      </c>
      <c r="E2866" s="22">
        <v>0.001</v>
      </c>
      <c r="F2866" s="160" t="s">
        <v>44</v>
      </c>
      <c r="I2866" s="22" t="s">
        <v>38</v>
      </c>
      <c r="J2866" s="72" t="s">
        <v>3169</v>
      </c>
    </row>
    <row r="2867" outlineLevel="1" spans="2:10">
      <c r="B2867" s="50" t="str">
        <f t="shared" si="64"/>
        <v>909A</v>
      </c>
      <c r="C2867" s="52" t="s">
        <v>3262</v>
      </c>
      <c r="D2867" s="22" t="s">
        <v>89</v>
      </c>
      <c r="E2867" s="22">
        <v>0.001</v>
      </c>
      <c r="F2867" s="160" t="s">
        <v>44</v>
      </c>
      <c r="I2867" s="22" t="s">
        <v>38</v>
      </c>
      <c r="J2867" s="72" t="s">
        <v>3171</v>
      </c>
    </row>
    <row r="2868" outlineLevel="1" spans="2:10">
      <c r="B2868" s="50" t="str">
        <f t="shared" si="64"/>
        <v>909B</v>
      </c>
      <c r="C2868" s="52" t="s">
        <v>3263</v>
      </c>
      <c r="D2868" s="22" t="s">
        <v>89</v>
      </c>
      <c r="E2868" s="22">
        <v>0.001</v>
      </c>
      <c r="F2868" s="160" t="s">
        <v>44</v>
      </c>
      <c r="I2868" s="22" t="s">
        <v>38</v>
      </c>
      <c r="J2868" s="72" t="s">
        <v>3173</v>
      </c>
    </row>
    <row r="2869" outlineLevel="1" spans="2:10">
      <c r="B2869" s="50" t="str">
        <f t="shared" si="64"/>
        <v>909C</v>
      </c>
      <c r="C2869" s="52" t="s">
        <v>3264</v>
      </c>
      <c r="D2869" s="22" t="s">
        <v>89</v>
      </c>
      <c r="E2869" s="22">
        <v>0.001</v>
      </c>
      <c r="F2869" s="160" t="s">
        <v>44</v>
      </c>
      <c r="I2869" s="22" t="s">
        <v>38</v>
      </c>
      <c r="J2869" s="72" t="s">
        <v>3175</v>
      </c>
    </row>
    <row r="2870" outlineLevel="1" spans="2:10">
      <c r="B2870" s="50" t="str">
        <f t="shared" si="64"/>
        <v>909D</v>
      </c>
      <c r="C2870" s="52" t="s">
        <v>3265</v>
      </c>
      <c r="D2870" s="22" t="s">
        <v>89</v>
      </c>
      <c r="E2870" s="22">
        <v>0.001</v>
      </c>
      <c r="F2870" s="160" t="s">
        <v>44</v>
      </c>
      <c r="I2870" s="22" t="s">
        <v>38</v>
      </c>
      <c r="J2870" s="72" t="s">
        <v>3177</v>
      </c>
    </row>
    <row r="2871" outlineLevel="1" spans="2:10">
      <c r="B2871" s="50" t="str">
        <f t="shared" si="64"/>
        <v>909E</v>
      </c>
      <c r="C2871" s="52" t="s">
        <v>3266</v>
      </c>
      <c r="D2871" s="22" t="s">
        <v>89</v>
      </c>
      <c r="E2871" s="22">
        <v>0.001</v>
      </c>
      <c r="F2871" s="160" t="s">
        <v>44</v>
      </c>
      <c r="I2871" s="22" t="s">
        <v>38</v>
      </c>
      <c r="J2871" s="72" t="s">
        <v>3179</v>
      </c>
    </row>
    <row r="2872" outlineLevel="1" spans="2:10">
      <c r="B2872" s="50" t="str">
        <f t="shared" si="64"/>
        <v>909F</v>
      </c>
      <c r="C2872" s="52" t="s">
        <v>3267</v>
      </c>
      <c r="D2872" s="22" t="s">
        <v>89</v>
      </c>
      <c r="E2872" s="22">
        <v>0.001</v>
      </c>
      <c r="F2872" s="160" t="s">
        <v>44</v>
      </c>
      <c r="I2872" s="22" t="s">
        <v>38</v>
      </c>
      <c r="J2872" s="72" t="s">
        <v>3181</v>
      </c>
    </row>
    <row r="2873" outlineLevel="1" spans="2:10">
      <c r="B2873" s="50" t="str">
        <f t="shared" ref="B2873:B2904" si="65">DEC2HEX(36864+ROW()-ROW($B$2713),4)</f>
        <v>90A0</v>
      </c>
      <c r="C2873" s="52" t="s">
        <v>3268</v>
      </c>
      <c r="D2873" s="22" t="s">
        <v>89</v>
      </c>
      <c r="E2873" s="22">
        <v>0.001</v>
      </c>
      <c r="F2873" s="160" t="s">
        <v>44</v>
      </c>
      <c r="I2873" s="22" t="s">
        <v>38</v>
      </c>
      <c r="J2873" s="72" t="s">
        <v>3183</v>
      </c>
    </row>
    <row r="2874" outlineLevel="1" spans="2:10">
      <c r="B2874" s="50" t="str">
        <f t="shared" si="65"/>
        <v>90A1</v>
      </c>
      <c r="C2874" s="52" t="s">
        <v>3269</v>
      </c>
      <c r="D2874" s="22" t="s">
        <v>89</v>
      </c>
      <c r="E2874" s="22">
        <v>0.001</v>
      </c>
      <c r="F2874" s="160" t="s">
        <v>44</v>
      </c>
      <c r="I2874" s="22" t="s">
        <v>38</v>
      </c>
      <c r="J2874" s="72" t="s">
        <v>3185</v>
      </c>
    </row>
    <row r="2875" outlineLevel="1" spans="2:10">
      <c r="B2875" s="50" t="str">
        <f t="shared" si="65"/>
        <v>90A2</v>
      </c>
      <c r="C2875" s="52" t="s">
        <v>3270</v>
      </c>
      <c r="D2875" s="22" t="s">
        <v>89</v>
      </c>
      <c r="E2875" s="22">
        <v>0.001</v>
      </c>
      <c r="F2875" s="160" t="s">
        <v>44</v>
      </c>
      <c r="I2875" s="22" t="s">
        <v>38</v>
      </c>
      <c r="J2875" s="72" t="s">
        <v>3187</v>
      </c>
    </row>
    <row r="2876" outlineLevel="1" spans="2:10">
      <c r="B2876" s="50" t="str">
        <f t="shared" si="65"/>
        <v>90A3</v>
      </c>
      <c r="C2876" s="52" t="s">
        <v>3271</v>
      </c>
      <c r="D2876" s="22" t="s">
        <v>89</v>
      </c>
      <c r="E2876" s="22">
        <v>0.001</v>
      </c>
      <c r="F2876" s="160" t="s">
        <v>44</v>
      </c>
      <c r="I2876" s="22" t="s">
        <v>38</v>
      </c>
      <c r="J2876" s="72" t="s">
        <v>3189</v>
      </c>
    </row>
    <row r="2877" outlineLevel="1" spans="2:10">
      <c r="B2877" s="50" t="str">
        <f t="shared" si="65"/>
        <v>90A4</v>
      </c>
      <c r="C2877" s="52" t="s">
        <v>3272</v>
      </c>
      <c r="D2877" s="22" t="s">
        <v>89</v>
      </c>
      <c r="E2877" s="22">
        <v>0.001</v>
      </c>
      <c r="F2877" s="160" t="s">
        <v>44</v>
      </c>
      <c r="I2877" s="22" t="s">
        <v>38</v>
      </c>
      <c r="J2877" s="72" t="s">
        <v>3191</v>
      </c>
    </row>
    <row r="2878" outlineLevel="1" spans="2:10">
      <c r="B2878" s="50" t="str">
        <f t="shared" si="65"/>
        <v>90A5</v>
      </c>
      <c r="C2878" s="52" t="s">
        <v>3273</v>
      </c>
      <c r="D2878" s="22" t="s">
        <v>89</v>
      </c>
      <c r="E2878" s="22">
        <v>0.001</v>
      </c>
      <c r="F2878" s="160" t="s">
        <v>44</v>
      </c>
      <c r="I2878" s="22" t="s">
        <v>38</v>
      </c>
      <c r="J2878" s="72" t="s">
        <v>3193</v>
      </c>
    </row>
    <row r="2879" outlineLevel="1" spans="2:10">
      <c r="B2879" s="50" t="str">
        <f t="shared" si="65"/>
        <v>90A6</v>
      </c>
      <c r="C2879" s="52" t="s">
        <v>3274</v>
      </c>
      <c r="D2879" s="22" t="s">
        <v>89</v>
      </c>
      <c r="E2879" s="22">
        <v>0.001</v>
      </c>
      <c r="F2879" s="160" t="s">
        <v>44</v>
      </c>
      <c r="I2879" s="22" t="s">
        <v>38</v>
      </c>
      <c r="J2879" s="72" t="s">
        <v>3195</v>
      </c>
    </row>
    <row r="2880" outlineLevel="1" spans="2:10">
      <c r="B2880" s="50" t="str">
        <f t="shared" si="65"/>
        <v>90A7</v>
      </c>
      <c r="C2880" s="52" t="s">
        <v>3275</v>
      </c>
      <c r="D2880" s="22" t="s">
        <v>89</v>
      </c>
      <c r="E2880" s="22">
        <v>0.001</v>
      </c>
      <c r="F2880" s="160" t="s">
        <v>44</v>
      </c>
      <c r="I2880" s="22" t="s">
        <v>38</v>
      </c>
      <c r="J2880" s="72" t="s">
        <v>3197</v>
      </c>
    </row>
    <row r="2881" outlineLevel="1" spans="2:10">
      <c r="B2881" s="50" t="str">
        <f t="shared" si="65"/>
        <v>90A8</v>
      </c>
      <c r="C2881" s="52" t="s">
        <v>3276</v>
      </c>
      <c r="D2881" s="22" t="s">
        <v>89</v>
      </c>
      <c r="E2881" s="22">
        <v>0.001</v>
      </c>
      <c r="F2881" s="160" t="s">
        <v>44</v>
      </c>
      <c r="I2881" s="22" t="s">
        <v>38</v>
      </c>
      <c r="J2881" s="72" t="s">
        <v>3199</v>
      </c>
    </row>
    <row r="2882" outlineLevel="1" spans="2:10">
      <c r="B2882" s="50" t="str">
        <f t="shared" si="65"/>
        <v>90A9</v>
      </c>
      <c r="C2882" s="52" t="s">
        <v>3277</v>
      </c>
      <c r="D2882" s="22" t="s">
        <v>89</v>
      </c>
      <c r="E2882" s="22">
        <v>0.001</v>
      </c>
      <c r="F2882" s="160" t="s">
        <v>44</v>
      </c>
      <c r="I2882" s="22" t="s">
        <v>38</v>
      </c>
      <c r="J2882" s="72" t="s">
        <v>3201</v>
      </c>
    </row>
    <row r="2883" outlineLevel="1" spans="2:10">
      <c r="B2883" s="50" t="str">
        <f t="shared" si="65"/>
        <v>90AA</v>
      </c>
      <c r="C2883" s="52" t="s">
        <v>3278</v>
      </c>
      <c r="D2883" s="22" t="s">
        <v>89</v>
      </c>
      <c r="E2883" s="22">
        <v>0.001</v>
      </c>
      <c r="F2883" s="160" t="s">
        <v>44</v>
      </c>
      <c r="I2883" s="22" t="s">
        <v>38</v>
      </c>
      <c r="J2883" s="72" t="s">
        <v>3203</v>
      </c>
    </row>
    <row r="2884" outlineLevel="1" spans="2:10">
      <c r="B2884" s="50" t="str">
        <f t="shared" si="65"/>
        <v>90AB</v>
      </c>
      <c r="C2884" s="52" t="s">
        <v>3279</v>
      </c>
      <c r="D2884" s="22" t="s">
        <v>131</v>
      </c>
      <c r="E2884" s="22">
        <v>0.1</v>
      </c>
      <c r="F2884" s="70" t="s">
        <v>581</v>
      </c>
      <c r="I2884" s="22" t="s">
        <v>38</v>
      </c>
      <c r="J2884" s="72" t="s">
        <v>3205</v>
      </c>
    </row>
    <row r="2885" outlineLevel="1" spans="2:10">
      <c r="B2885" s="50" t="str">
        <f t="shared" si="65"/>
        <v>90AC</v>
      </c>
      <c r="C2885" s="52" t="s">
        <v>3280</v>
      </c>
      <c r="D2885" s="22" t="s">
        <v>131</v>
      </c>
      <c r="E2885" s="22">
        <v>0.1</v>
      </c>
      <c r="F2885" s="70" t="s">
        <v>581</v>
      </c>
      <c r="I2885" s="22" t="s">
        <v>38</v>
      </c>
      <c r="J2885" s="72" t="s">
        <v>3207</v>
      </c>
    </row>
    <row r="2886" outlineLevel="1" spans="2:10">
      <c r="B2886" s="50" t="str">
        <f t="shared" si="65"/>
        <v>90AD</v>
      </c>
      <c r="C2886" s="52" t="s">
        <v>3281</v>
      </c>
      <c r="D2886" s="22" t="s">
        <v>131</v>
      </c>
      <c r="E2886" s="22">
        <v>0.1</v>
      </c>
      <c r="F2886" s="70" t="s">
        <v>581</v>
      </c>
      <c r="I2886" s="22" t="s">
        <v>38</v>
      </c>
      <c r="J2886" s="72" t="s">
        <v>3209</v>
      </c>
    </row>
    <row r="2887" outlineLevel="1" spans="2:10">
      <c r="B2887" s="50" t="str">
        <f t="shared" si="65"/>
        <v>90AE</v>
      </c>
      <c r="C2887" s="52" t="s">
        <v>3282</v>
      </c>
      <c r="D2887" s="22" t="s">
        <v>131</v>
      </c>
      <c r="E2887" s="22">
        <v>0.1</v>
      </c>
      <c r="F2887" s="70" t="s">
        <v>581</v>
      </c>
      <c r="I2887" s="22" t="s">
        <v>38</v>
      </c>
      <c r="J2887" s="72" t="s">
        <v>3211</v>
      </c>
    </row>
    <row r="2888" outlineLevel="1" spans="2:10">
      <c r="B2888" s="50" t="str">
        <f t="shared" si="65"/>
        <v>90AF</v>
      </c>
      <c r="C2888" s="52" t="s">
        <v>3283</v>
      </c>
      <c r="D2888" s="22" t="s">
        <v>131</v>
      </c>
      <c r="E2888" s="22">
        <v>0.1</v>
      </c>
      <c r="F2888" s="70" t="s">
        <v>581</v>
      </c>
      <c r="I2888" s="22" t="s">
        <v>38</v>
      </c>
      <c r="J2888" s="72" t="s">
        <v>3213</v>
      </c>
    </row>
    <row r="2889" outlineLevel="1" spans="2:10">
      <c r="B2889" s="50" t="str">
        <f t="shared" si="65"/>
        <v>90B0</v>
      </c>
      <c r="C2889" s="52" t="s">
        <v>3284</v>
      </c>
      <c r="D2889" s="22" t="s">
        <v>131</v>
      </c>
      <c r="E2889" s="22">
        <v>0.1</v>
      </c>
      <c r="F2889" s="70" t="s">
        <v>581</v>
      </c>
      <c r="I2889" s="22" t="s">
        <v>38</v>
      </c>
      <c r="J2889" s="72" t="s">
        <v>3215</v>
      </c>
    </row>
    <row r="2890" outlineLevel="1" spans="2:10">
      <c r="B2890" s="50" t="str">
        <f t="shared" si="65"/>
        <v>90B1</v>
      </c>
      <c r="C2890" s="52" t="s">
        <v>3285</v>
      </c>
      <c r="D2890" s="22" t="s">
        <v>131</v>
      </c>
      <c r="E2890" s="22">
        <v>0.1</v>
      </c>
      <c r="F2890" s="160" t="s">
        <v>303</v>
      </c>
      <c r="I2890" s="22" t="s">
        <v>38</v>
      </c>
      <c r="J2890" s="72" t="s">
        <v>3217</v>
      </c>
    </row>
    <row r="2891" outlineLevel="1" spans="2:10">
      <c r="B2891" s="50" t="str">
        <f t="shared" si="65"/>
        <v>90B2</v>
      </c>
      <c r="C2891" s="52" t="s">
        <v>3286</v>
      </c>
      <c r="D2891" s="22" t="s">
        <v>89</v>
      </c>
      <c r="E2891" s="22">
        <v>0.1</v>
      </c>
      <c r="F2891" s="160" t="s">
        <v>3219</v>
      </c>
      <c r="I2891" s="22" t="s">
        <v>38</v>
      </c>
      <c r="J2891" s="72" t="s">
        <v>3220</v>
      </c>
    </row>
    <row r="2892" outlineLevel="1" spans="2:10">
      <c r="B2892" s="50" t="str">
        <f t="shared" si="65"/>
        <v>90B3</v>
      </c>
      <c r="C2892" s="52" t="s">
        <v>3287</v>
      </c>
      <c r="D2892" s="22" t="s">
        <v>89</v>
      </c>
      <c r="E2892" s="22">
        <v>0.1</v>
      </c>
      <c r="F2892" s="160" t="s">
        <v>3219</v>
      </c>
      <c r="I2892" s="22" t="s">
        <v>38</v>
      </c>
      <c r="J2892" s="72" t="s">
        <v>3222</v>
      </c>
    </row>
    <row r="2893" outlineLevel="1" spans="2:10">
      <c r="B2893" s="50" t="str">
        <f t="shared" si="65"/>
        <v>90B4</v>
      </c>
      <c r="C2893" s="52" t="s">
        <v>3288</v>
      </c>
      <c r="D2893" s="22" t="s">
        <v>89</v>
      </c>
      <c r="E2893" s="22">
        <v>0.01</v>
      </c>
      <c r="F2893" s="160" t="s">
        <v>44</v>
      </c>
      <c r="I2893" s="22" t="s">
        <v>38</v>
      </c>
      <c r="J2893" s="72" t="s">
        <v>3108</v>
      </c>
    </row>
    <row r="2894" outlineLevel="1" spans="2:10">
      <c r="B2894" s="50" t="str">
        <f t="shared" si="65"/>
        <v>90B5</v>
      </c>
      <c r="C2894" s="52" t="s">
        <v>3289</v>
      </c>
      <c r="D2894" s="22" t="s">
        <v>89</v>
      </c>
      <c r="I2894" s="22" t="s">
        <v>38</v>
      </c>
      <c r="J2894" s="72" t="s">
        <v>3229</v>
      </c>
    </row>
    <row r="2895" outlineLevel="1" spans="2:10">
      <c r="B2895" s="50" t="str">
        <f t="shared" si="65"/>
        <v>90B6</v>
      </c>
      <c r="C2895" s="52" t="s">
        <v>3290</v>
      </c>
      <c r="D2895" s="22" t="s">
        <v>89</v>
      </c>
      <c r="I2895" s="22" t="s">
        <v>38</v>
      </c>
      <c r="J2895" s="72" t="s">
        <v>3231</v>
      </c>
    </row>
    <row r="2896" outlineLevel="1" spans="2:10">
      <c r="B2896" s="50" t="str">
        <f t="shared" si="65"/>
        <v>90B7</v>
      </c>
      <c r="C2896" s="52" t="s">
        <v>3291</v>
      </c>
      <c r="D2896" s="22" t="s">
        <v>89</v>
      </c>
      <c r="I2896" s="22" t="s">
        <v>38</v>
      </c>
      <c r="J2896" s="72" t="s">
        <v>3233</v>
      </c>
    </row>
    <row r="2897" outlineLevel="1" spans="2:2">
      <c r="B2897" s="50" t="str">
        <f t="shared" si="65"/>
        <v>90B8</v>
      </c>
    </row>
    <row r="2898" outlineLevel="1" spans="2:2">
      <c r="B2898" s="50" t="str">
        <f t="shared" si="65"/>
        <v>90B9</v>
      </c>
    </row>
    <row r="2899" outlineLevel="1" spans="2:2">
      <c r="B2899" s="50" t="str">
        <f t="shared" si="65"/>
        <v>90BA</v>
      </c>
    </row>
    <row r="2900" outlineLevel="1" spans="2:2">
      <c r="B2900" s="50" t="str">
        <f t="shared" si="65"/>
        <v>90BB</v>
      </c>
    </row>
    <row r="2901" outlineLevel="1" spans="2:2">
      <c r="B2901" s="50" t="str">
        <f t="shared" si="65"/>
        <v>90BC</v>
      </c>
    </row>
    <row r="2902" outlineLevel="1" spans="2:2">
      <c r="B2902" s="50" t="str">
        <f t="shared" si="65"/>
        <v>90BD</v>
      </c>
    </row>
    <row r="2903" outlineLevel="1" spans="2:2">
      <c r="B2903" s="50" t="str">
        <f t="shared" si="65"/>
        <v>90BE</v>
      </c>
    </row>
    <row r="2904" outlineLevel="1" spans="2:2">
      <c r="B2904" s="50" t="str">
        <f t="shared" si="65"/>
        <v>90BF</v>
      </c>
    </row>
    <row r="2905" outlineLevel="1"/>
    <row r="2908" s="22" customFormat="1" spans="2:10">
      <c r="B2908" s="50"/>
      <c r="C2908" s="51"/>
      <c r="J2908" s="52"/>
    </row>
  </sheetData>
  <mergeCells count="848">
    <mergeCell ref="A2:K2"/>
    <mergeCell ref="A69:K69"/>
    <mergeCell ref="A70:K70"/>
    <mergeCell ref="A200:K200"/>
    <mergeCell ref="A330:K330"/>
    <mergeCell ref="A397:K397"/>
    <mergeCell ref="A517:K517"/>
    <mergeCell ref="A647:K647"/>
    <mergeCell ref="A713:K713"/>
    <mergeCell ref="A779:K779"/>
    <mergeCell ref="A910:K910"/>
    <mergeCell ref="A988:K988"/>
    <mergeCell ref="A989:K989"/>
    <mergeCell ref="A1004:K1004"/>
    <mergeCell ref="A1024:K1024"/>
    <mergeCell ref="A1042:K1042"/>
    <mergeCell ref="A1061:K1061"/>
    <mergeCell ref="A1089:K1089"/>
    <mergeCell ref="A1140:K1140"/>
    <mergeCell ref="A1188:K1188"/>
    <mergeCell ref="A1224:K1224"/>
    <mergeCell ref="A1245:K1245"/>
    <mergeCell ref="A1252:K1252"/>
    <mergeCell ref="A1253:K1253"/>
    <mergeCell ref="A1511:K1511"/>
    <mergeCell ref="A1740:K1740"/>
    <mergeCell ref="A2624:K2624"/>
    <mergeCell ref="A2705:K2705"/>
    <mergeCell ref="A2712:K2712"/>
    <mergeCell ref="C3:C6"/>
    <mergeCell ref="C71:C74"/>
    <mergeCell ref="C110:C111"/>
    <mergeCell ref="C112:C113"/>
    <mergeCell ref="C135:C138"/>
    <mergeCell ref="C201:C204"/>
    <mergeCell ref="C331:C334"/>
    <mergeCell ref="C398:C401"/>
    <mergeCell ref="C462:C465"/>
    <mergeCell ref="C518:C521"/>
    <mergeCell ref="C582:C585"/>
    <mergeCell ref="C648:C651"/>
    <mergeCell ref="C652:C653"/>
    <mergeCell ref="C654:C655"/>
    <mergeCell ref="C656:C657"/>
    <mergeCell ref="C658:C659"/>
    <mergeCell ref="C660:C661"/>
    <mergeCell ref="C662:C663"/>
    <mergeCell ref="C664:C665"/>
    <mergeCell ref="C666:C667"/>
    <mergeCell ref="C668:C669"/>
    <mergeCell ref="C670:C671"/>
    <mergeCell ref="C672:C673"/>
    <mergeCell ref="C674:C675"/>
    <mergeCell ref="C714:C717"/>
    <mergeCell ref="C780:C783"/>
    <mergeCell ref="C844:C847"/>
    <mergeCell ref="C911:C914"/>
    <mergeCell ref="C1254:C1257"/>
    <mergeCell ref="C1318:C1321"/>
    <mergeCell ref="C1382:C1385"/>
    <mergeCell ref="C1388:C1389"/>
    <mergeCell ref="C1512:C1515"/>
    <mergeCell ref="C1535:C1536"/>
    <mergeCell ref="C1537:C1538"/>
    <mergeCell ref="C1549:C1550"/>
    <mergeCell ref="C1560:C1561"/>
    <mergeCell ref="C1562:C1563"/>
    <mergeCell ref="C1576:C1579"/>
    <mergeCell ref="C1640:C1643"/>
    <mergeCell ref="C1647:C1648"/>
    <mergeCell ref="C1649:C1650"/>
    <mergeCell ref="C1651:C1652"/>
    <mergeCell ref="C1653:C1654"/>
    <mergeCell ref="C1655:C1656"/>
    <mergeCell ref="C1657:C1658"/>
    <mergeCell ref="C1659:C1660"/>
    <mergeCell ref="C1661:C1662"/>
    <mergeCell ref="C1663:C1664"/>
    <mergeCell ref="C1665:C1666"/>
    <mergeCell ref="C1667:C1668"/>
    <mergeCell ref="C1669:C1670"/>
    <mergeCell ref="C1671:C1672"/>
    <mergeCell ref="C1673:C1674"/>
    <mergeCell ref="C1675:C1676"/>
    <mergeCell ref="C1677:C1678"/>
    <mergeCell ref="C1679:C1680"/>
    <mergeCell ref="C1704:C1707"/>
    <mergeCell ref="C1741:C1744"/>
    <mergeCell ref="C1794:C1797"/>
    <mergeCell ref="C1858:C1861"/>
    <mergeCell ref="C1922:C1925"/>
    <mergeCell ref="C1986:C1989"/>
    <mergeCell ref="C2050:C2053"/>
    <mergeCell ref="C2514:C2515"/>
    <mergeCell ref="C2516:C2517"/>
    <mergeCell ref="C2518:C2519"/>
    <mergeCell ref="C2520:C2521"/>
    <mergeCell ref="C2522:C2523"/>
    <mergeCell ref="C2524:C2525"/>
    <mergeCell ref="C2526:C2527"/>
    <mergeCell ref="C2528:C2529"/>
    <mergeCell ref="C2530:C2531"/>
    <mergeCell ref="C2532:C2533"/>
    <mergeCell ref="C2534:C2535"/>
    <mergeCell ref="C2536:C2537"/>
    <mergeCell ref="C2538:C2539"/>
    <mergeCell ref="C2540:C2541"/>
    <mergeCell ref="C2542:C2543"/>
    <mergeCell ref="C2544:C2545"/>
    <mergeCell ref="C2546:C2547"/>
    <mergeCell ref="C2548:C2549"/>
    <mergeCell ref="C2550:C2551"/>
    <mergeCell ref="C2552:C2553"/>
    <mergeCell ref="C2554:C2555"/>
    <mergeCell ref="C2556:C2557"/>
    <mergeCell ref="C2558:C2559"/>
    <mergeCell ref="C2560:C2561"/>
    <mergeCell ref="C2562:C2563"/>
    <mergeCell ref="C2564:C2565"/>
    <mergeCell ref="C2566:C2567"/>
    <mergeCell ref="C2568:C2569"/>
    <mergeCell ref="C2570:C2571"/>
    <mergeCell ref="C2572:C2573"/>
    <mergeCell ref="C2574:C2575"/>
    <mergeCell ref="C2576:C2577"/>
    <mergeCell ref="C2578:C2579"/>
    <mergeCell ref="C2580:C2581"/>
    <mergeCell ref="C2582:C2583"/>
    <mergeCell ref="C2584:C2585"/>
    <mergeCell ref="C2586:C2587"/>
    <mergeCell ref="C2588:C2589"/>
    <mergeCell ref="C2590:C2591"/>
    <mergeCell ref="C2592:C2593"/>
    <mergeCell ref="C2625:C2628"/>
    <mergeCell ref="C2713:C2716"/>
    <mergeCell ref="C2717:C2718"/>
    <mergeCell ref="C2777:C2780"/>
    <mergeCell ref="C2782:C2783"/>
    <mergeCell ref="C2841:C2844"/>
    <mergeCell ref="C2846:C2847"/>
    <mergeCell ref="D3:D6"/>
    <mergeCell ref="D71:D74"/>
    <mergeCell ref="D110:D111"/>
    <mergeCell ref="D112:D113"/>
    <mergeCell ref="D135:D138"/>
    <mergeCell ref="D201:D204"/>
    <mergeCell ref="D331:D334"/>
    <mergeCell ref="D398:D401"/>
    <mergeCell ref="D462:D465"/>
    <mergeCell ref="D518:D521"/>
    <mergeCell ref="D582:D585"/>
    <mergeCell ref="D648:D651"/>
    <mergeCell ref="D652:D653"/>
    <mergeCell ref="D654:D655"/>
    <mergeCell ref="D656:D657"/>
    <mergeCell ref="D658:D659"/>
    <mergeCell ref="D660:D661"/>
    <mergeCell ref="D662:D663"/>
    <mergeCell ref="D664:D665"/>
    <mergeCell ref="D666:D667"/>
    <mergeCell ref="D668:D669"/>
    <mergeCell ref="D670:D671"/>
    <mergeCell ref="D672:D673"/>
    <mergeCell ref="D674:D675"/>
    <mergeCell ref="D714:D717"/>
    <mergeCell ref="D780:D783"/>
    <mergeCell ref="D844:D847"/>
    <mergeCell ref="D911:D914"/>
    <mergeCell ref="D1254:D1257"/>
    <mergeCell ref="D1318:D1321"/>
    <mergeCell ref="D1382:D1385"/>
    <mergeCell ref="D1388:D1389"/>
    <mergeCell ref="D1512:D1515"/>
    <mergeCell ref="D1535:D1536"/>
    <mergeCell ref="D1537:D1538"/>
    <mergeCell ref="D1549:D1550"/>
    <mergeCell ref="D1560:D1561"/>
    <mergeCell ref="D1562:D1563"/>
    <mergeCell ref="D1576:D1579"/>
    <mergeCell ref="D1640:D1643"/>
    <mergeCell ref="D1647:D1648"/>
    <mergeCell ref="D1649:D1650"/>
    <mergeCell ref="D1651:D1652"/>
    <mergeCell ref="D1653:D1654"/>
    <mergeCell ref="D1655:D1656"/>
    <mergeCell ref="D1657:D1658"/>
    <mergeCell ref="D1659:D1660"/>
    <mergeCell ref="D1661:D1662"/>
    <mergeCell ref="D1663:D1664"/>
    <mergeCell ref="D1665:D1666"/>
    <mergeCell ref="D1667:D1668"/>
    <mergeCell ref="D1669:D1670"/>
    <mergeCell ref="D1671:D1672"/>
    <mergeCell ref="D1673:D1674"/>
    <mergeCell ref="D1675:D1676"/>
    <mergeCell ref="D1677:D1678"/>
    <mergeCell ref="D1679:D1680"/>
    <mergeCell ref="D1704:D1707"/>
    <mergeCell ref="D1741:D1744"/>
    <mergeCell ref="D1794:D1797"/>
    <mergeCell ref="D1858:D1861"/>
    <mergeCell ref="D1922:D1925"/>
    <mergeCell ref="D1986:D1989"/>
    <mergeCell ref="D2050:D2053"/>
    <mergeCell ref="D2514:D2515"/>
    <mergeCell ref="D2516:D2517"/>
    <mergeCell ref="D2518:D2519"/>
    <mergeCell ref="D2520:D2521"/>
    <mergeCell ref="D2522:D2523"/>
    <mergeCell ref="D2524:D2525"/>
    <mergeCell ref="D2526:D2527"/>
    <mergeCell ref="D2528:D2529"/>
    <mergeCell ref="D2530:D2531"/>
    <mergeCell ref="D2532:D2533"/>
    <mergeCell ref="D2534:D2535"/>
    <mergeCell ref="D2536:D2537"/>
    <mergeCell ref="D2538:D2539"/>
    <mergeCell ref="D2540:D2541"/>
    <mergeCell ref="D2542:D2543"/>
    <mergeCell ref="D2544:D2545"/>
    <mergeCell ref="D2546:D2547"/>
    <mergeCell ref="D2548:D2549"/>
    <mergeCell ref="D2550:D2551"/>
    <mergeCell ref="D2552:D2553"/>
    <mergeCell ref="D2554:D2555"/>
    <mergeCell ref="D2556:D2557"/>
    <mergeCell ref="D2558:D2559"/>
    <mergeCell ref="D2560:D2561"/>
    <mergeCell ref="D2562:D2563"/>
    <mergeCell ref="D2564:D2565"/>
    <mergeCell ref="D2566:D2567"/>
    <mergeCell ref="D2568:D2569"/>
    <mergeCell ref="D2570:D2571"/>
    <mergeCell ref="D2572:D2573"/>
    <mergeCell ref="D2574:D2575"/>
    <mergeCell ref="D2576:D2577"/>
    <mergeCell ref="D2578:D2579"/>
    <mergeCell ref="D2580:D2581"/>
    <mergeCell ref="D2582:D2583"/>
    <mergeCell ref="D2584:D2585"/>
    <mergeCell ref="D2586:D2587"/>
    <mergeCell ref="D2588:D2589"/>
    <mergeCell ref="D2590:D2591"/>
    <mergeCell ref="D2592:D2593"/>
    <mergeCell ref="D2625:D2628"/>
    <mergeCell ref="D2713:D2716"/>
    <mergeCell ref="D2717:D2718"/>
    <mergeCell ref="D2777:D2780"/>
    <mergeCell ref="D2782:D2783"/>
    <mergeCell ref="D2841:D2844"/>
    <mergeCell ref="D2846:D2847"/>
    <mergeCell ref="E3:E6"/>
    <mergeCell ref="E71:E74"/>
    <mergeCell ref="E110:E111"/>
    <mergeCell ref="E112:E113"/>
    <mergeCell ref="E135:E138"/>
    <mergeCell ref="E201:E204"/>
    <mergeCell ref="E331:E334"/>
    <mergeCell ref="E398:E401"/>
    <mergeCell ref="E462:E465"/>
    <mergeCell ref="E518:E521"/>
    <mergeCell ref="E582:E585"/>
    <mergeCell ref="E648:E651"/>
    <mergeCell ref="E652:E653"/>
    <mergeCell ref="E654:E655"/>
    <mergeCell ref="E656:E657"/>
    <mergeCell ref="E658:E659"/>
    <mergeCell ref="E660:E661"/>
    <mergeCell ref="E662:E663"/>
    <mergeCell ref="E664:E665"/>
    <mergeCell ref="E666:E667"/>
    <mergeCell ref="E668:E669"/>
    <mergeCell ref="E670:E671"/>
    <mergeCell ref="E672:E673"/>
    <mergeCell ref="E674:E675"/>
    <mergeCell ref="E714:E717"/>
    <mergeCell ref="E780:E783"/>
    <mergeCell ref="E844:E847"/>
    <mergeCell ref="E911:E914"/>
    <mergeCell ref="E1254:E1257"/>
    <mergeCell ref="E1318:E1321"/>
    <mergeCell ref="E1382:E1385"/>
    <mergeCell ref="E1388:E1389"/>
    <mergeCell ref="E1512:E1515"/>
    <mergeCell ref="E1535:E1536"/>
    <mergeCell ref="E1537:E1538"/>
    <mergeCell ref="E1549:E1550"/>
    <mergeCell ref="E1560:E1561"/>
    <mergeCell ref="E1562:E1563"/>
    <mergeCell ref="E1576:E1579"/>
    <mergeCell ref="E1640:E1643"/>
    <mergeCell ref="E1647:E1648"/>
    <mergeCell ref="E1649:E1650"/>
    <mergeCell ref="E1651:E1652"/>
    <mergeCell ref="E1653:E1654"/>
    <mergeCell ref="E1655:E1656"/>
    <mergeCell ref="E1657:E1658"/>
    <mergeCell ref="E1659:E1660"/>
    <mergeCell ref="E1661:E1662"/>
    <mergeCell ref="E1663:E1664"/>
    <mergeCell ref="E1665:E1666"/>
    <mergeCell ref="E1667:E1668"/>
    <mergeCell ref="E1669:E1670"/>
    <mergeCell ref="E1671:E1672"/>
    <mergeCell ref="E1673:E1674"/>
    <mergeCell ref="E1675:E1676"/>
    <mergeCell ref="E1677:E1678"/>
    <mergeCell ref="E1679:E1680"/>
    <mergeCell ref="E1704:E1707"/>
    <mergeCell ref="E1741:E1744"/>
    <mergeCell ref="E1794:E1797"/>
    <mergeCell ref="E1858:E1861"/>
    <mergeCell ref="E1922:E1925"/>
    <mergeCell ref="E1986:E1989"/>
    <mergeCell ref="E2050:E2053"/>
    <mergeCell ref="E2514:E2515"/>
    <mergeCell ref="E2516:E2517"/>
    <mergeCell ref="E2518:E2519"/>
    <mergeCell ref="E2520:E2521"/>
    <mergeCell ref="E2522:E2523"/>
    <mergeCell ref="E2524:E2525"/>
    <mergeCell ref="E2526:E2527"/>
    <mergeCell ref="E2528:E2529"/>
    <mergeCell ref="E2530:E2531"/>
    <mergeCell ref="E2532:E2533"/>
    <mergeCell ref="E2534:E2535"/>
    <mergeCell ref="E2536:E2537"/>
    <mergeCell ref="E2538:E2539"/>
    <mergeCell ref="E2540:E2541"/>
    <mergeCell ref="E2542:E2543"/>
    <mergeCell ref="E2544:E2545"/>
    <mergeCell ref="E2546:E2547"/>
    <mergeCell ref="E2548:E2549"/>
    <mergeCell ref="E2550:E2551"/>
    <mergeCell ref="E2552:E2553"/>
    <mergeCell ref="E2554:E2555"/>
    <mergeCell ref="E2556:E2557"/>
    <mergeCell ref="E2558:E2559"/>
    <mergeCell ref="E2560:E2561"/>
    <mergeCell ref="E2562:E2563"/>
    <mergeCell ref="E2564:E2565"/>
    <mergeCell ref="E2566:E2567"/>
    <mergeCell ref="E2568:E2569"/>
    <mergeCell ref="E2570:E2571"/>
    <mergeCell ref="E2572:E2573"/>
    <mergeCell ref="E2574:E2575"/>
    <mergeCell ref="E2576:E2577"/>
    <mergeCell ref="E2578:E2579"/>
    <mergeCell ref="E2580:E2581"/>
    <mergeCell ref="E2582:E2583"/>
    <mergeCell ref="E2584:E2585"/>
    <mergeCell ref="E2586:E2587"/>
    <mergeCell ref="E2588:E2589"/>
    <mergeCell ref="E2590:E2591"/>
    <mergeCell ref="E2592:E2593"/>
    <mergeCell ref="E2625:E2628"/>
    <mergeCell ref="E2713:E2716"/>
    <mergeCell ref="E2717:E2718"/>
    <mergeCell ref="E2777:E2780"/>
    <mergeCell ref="E2782:E2783"/>
    <mergeCell ref="E2841:E2844"/>
    <mergeCell ref="E2846:E2847"/>
    <mergeCell ref="F3:F6"/>
    <mergeCell ref="F71:F74"/>
    <mergeCell ref="F110:F111"/>
    <mergeCell ref="F112:F113"/>
    <mergeCell ref="F135:F138"/>
    <mergeCell ref="F201:F204"/>
    <mergeCell ref="F331:F334"/>
    <mergeCell ref="F398:F401"/>
    <mergeCell ref="F462:F465"/>
    <mergeCell ref="F518:F521"/>
    <mergeCell ref="F582:F585"/>
    <mergeCell ref="F648:F651"/>
    <mergeCell ref="F652:F653"/>
    <mergeCell ref="F654:F655"/>
    <mergeCell ref="F656:F657"/>
    <mergeCell ref="F658:F659"/>
    <mergeCell ref="F660:F661"/>
    <mergeCell ref="F662:F663"/>
    <mergeCell ref="F664:F665"/>
    <mergeCell ref="F666:F667"/>
    <mergeCell ref="F668:F669"/>
    <mergeCell ref="F670:F671"/>
    <mergeCell ref="F672:F673"/>
    <mergeCell ref="F674:F675"/>
    <mergeCell ref="F714:F717"/>
    <mergeCell ref="F780:F783"/>
    <mergeCell ref="F844:F847"/>
    <mergeCell ref="F911:F914"/>
    <mergeCell ref="F1254:F1257"/>
    <mergeCell ref="F1318:F1321"/>
    <mergeCell ref="F1382:F1385"/>
    <mergeCell ref="F1388:F1389"/>
    <mergeCell ref="F1512:F1515"/>
    <mergeCell ref="F1535:F1536"/>
    <mergeCell ref="F1537:F1538"/>
    <mergeCell ref="F1549:F1550"/>
    <mergeCell ref="F1560:F1561"/>
    <mergeCell ref="F1562:F1563"/>
    <mergeCell ref="F1576:F1579"/>
    <mergeCell ref="F1640:F1643"/>
    <mergeCell ref="F1647:F1648"/>
    <mergeCell ref="F1649:F1650"/>
    <mergeCell ref="F1651:F1652"/>
    <mergeCell ref="F1653:F1654"/>
    <mergeCell ref="F1655:F1656"/>
    <mergeCell ref="F1657:F1658"/>
    <mergeCell ref="F1659:F1660"/>
    <mergeCell ref="F1661:F1662"/>
    <mergeCell ref="F1663:F1664"/>
    <mergeCell ref="F1665:F1666"/>
    <mergeCell ref="F1667:F1668"/>
    <mergeCell ref="F1669:F1670"/>
    <mergeCell ref="F1671:F1672"/>
    <mergeCell ref="F1673:F1674"/>
    <mergeCell ref="F1675:F1676"/>
    <mergeCell ref="F1677:F1678"/>
    <mergeCell ref="F1679:F1680"/>
    <mergeCell ref="F1704:F1707"/>
    <mergeCell ref="F1741:F1744"/>
    <mergeCell ref="F1794:F1797"/>
    <mergeCell ref="F1858:F1861"/>
    <mergeCell ref="F1922:F1925"/>
    <mergeCell ref="F1986:F1989"/>
    <mergeCell ref="F2050:F2053"/>
    <mergeCell ref="F2514:F2515"/>
    <mergeCell ref="F2516:F2517"/>
    <mergeCell ref="F2518:F2519"/>
    <mergeCell ref="F2520:F2521"/>
    <mergeCell ref="F2522:F2523"/>
    <mergeCell ref="F2524:F2525"/>
    <mergeCell ref="F2526:F2527"/>
    <mergeCell ref="F2528:F2529"/>
    <mergeCell ref="F2530:F2531"/>
    <mergeCell ref="F2532:F2533"/>
    <mergeCell ref="F2534:F2535"/>
    <mergeCell ref="F2536:F2537"/>
    <mergeCell ref="F2538:F2539"/>
    <mergeCell ref="F2540:F2541"/>
    <mergeCell ref="F2542:F2543"/>
    <mergeCell ref="F2544:F2545"/>
    <mergeCell ref="F2546:F2547"/>
    <mergeCell ref="F2548:F2549"/>
    <mergeCell ref="F2550:F2551"/>
    <mergeCell ref="F2552:F2553"/>
    <mergeCell ref="F2554:F2555"/>
    <mergeCell ref="F2556:F2557"/>
    <mergeCell ref="F2558:F2559"/>
    <mergeCell ref="F2560:F2561"/>
    <mergeCell ref="F2562:F2563"/>
    <mergeCell ref="F2564:F2565"/>
    <mergeCell ref="F2566:F2567"/>
    <mergeCell ref="F2568:F2569"/>
    <mergeCell ref="F2570:F2571"/>
    <mergeCell ref="F2572:F2573"/>
    <mergeCell ref="F2574:F2575"/>
    <mergeCell ref="F2576:F2577"/>
    <mergeCell ref="F2578:F2579"/>
    <mergeCell ref="F2580:F2581"/>
    <mergeCell ref="F2582:F2583"/>
    <mergeCell ref="F2584:F2585"/>
    <mergeCell ref="F2586:F2587"/>
    <mergeCell ref="F2588:F2589"/>
    <mergeCell ref="F2590:F2591"/>
    <mergeCell ref="F2592:F2593"/>
    <mergeCell ref="F2625:F2628"/>
    <mergeCell ref="F2713:F2716"/>
    <mergeCell ref="F2717:F2718"/>
    <mergeCell ref="F2777:F2780"/>
    <mergeCell ref="F2782:F2783"/>
    <mergeCell ref="F2841:F2844"/>
    <mergeCell ref="F2846:F2847"/>
    <mergeCell ref="G3:G6"/>
    <mergeCell ref="G71:G74"/>
    <mergeCell ref="G110:G111"/>
    <mergeCell ref="G112:G113"/>
    <mergeCell ref="G135:G138"/>
    <mergeCell ref="G201:G204"/>
    <mergeCell ref="G331:G334"/>
    <mergeCell ref="G398:G401"/>
    <mergeCell ref="G462:G465"/>
    <mergeCell ref="G518:G521"/>
    <mergeCell ref="G582:G585"/>
    <mergeCell ref="G648:G651"/>
    <mergeCell ref="G654:G655"/>
    <mergeCell ref="G714:G717"/>
    <mergeCell ref="G780:G783"/>
    <mergeCell ref="G844:G847"/>
    <mergeCell ref="G911:G914"/>
    <mergeCell ref="G1254:G1257"/>
    <mergeCell ref="G1318:G1321"/>
    <mergeCell ref="G1382:G1385"/>
    <mergeCell ref="G1388:G1389"/>
    <mergeCell ref="G1512:G1515"/>
    <mergeCell ref="G1535:G1536"/>
    <mergeCell ref="G1537:G1538"/>
    <mergeCell ref="G1549:G1550"/>
    <mergeCell ref="G1560:G1561"/>
    <mergeCell ref="G1562:G1563"/>
    <mergeCell ref="G1576:G1579"/>
    <mergeCell ref="G1640:G1643"/>
    <mergeCell ref="G1647:G1648"/>
    <mergeCell ref="G1649:G1650"/>
    <mergeCell ref="G1651:G1652"/>
    <mergeCell ref="G1653:G1654"/>
    <mergeCell ref="G1655:G1656"/>
    <mergeCell ref="G1657:G1658"/>
    <mergeCell ref="G1659:G1660"/>
    <mergeCell ref="G1661:G1662"/>
    <mergeCell ref="G1663:G1664"/>
    <mergeCell ref="G1665:G1666"/>
    <mergeCell ref="G1667:G1668"/>
    <mergeCell ref="G1669:G1670"/>
    <mergeCell ref="G1671:G1672"/>
    <mergeCell ref="G1673:G1674"/>
    <mergeCell ref="G1675:G1676"/>
    <mergeCell ref="G1677:G1678"/>
    <mergeCell ref="G1679:G1680"/>
    <mergeCell ref="G1704:G1707"/>
    <mergeCell ref="G1741:G1744"/>
    <mergeCell ref="G1794:G1797"/>
    <mergeCell ref="G1858:G1861"/>
    <mergeCell ref="G1922:G1925"/>
    <mergeCell ref="G1986:G1989"/>
    <mergeCell ref="G2050:G2053"/>
    <mergeCell ref="G2514:G2515"/>
    <mergeCell ref="G2625:G2628"/>
    <mergeCell ref="G2713:G2716"/>
    <mergeCell ref="G2717:G2718"/>
    <mergeCell ref="G2777:G2780"/>
    <mergeCell ref="G2782:G2783"/>
    <mergeCell ref="G2841:G2844"/>
    <mergeCell ref="G2846:G2847"/>
    <mergeCell ref="H3:H6"/>
    <mergeCell ref="H71:H74"/>
    <mergeCell ref="H110:H111"/>
    <mergeCell ref="H112:H113"/>
    <mergeCell ref="H135:H138"/>
    <mergeCell ref="H201:H204"/>
    <mergeCell ref="H331:H334"/>
    <mergeCell ref="H398:H401"/>
    <mergeCell ref="H462:H465"/>
    <mergeCell ref="H518:H521"/>
    <mergeCell ref="H582:H585"/>
    <mergeCell ref="H648:H651"/>
    <mergeCell ref="H654:H655"/>
    <mergeCell ref="H714:H717"/>
    <mergeCell ref="H780:H783"/>
    <mergeCell ref="H844:H847"/>
    <mergeCell ref="H911:H914"/>
    <mergeCell ref="H1254:H1257"/>
    <mergeCell ref="H1318:H1321"/>
    <mergeCell ref="H1382:H1385"/>
    <mergeCell ref="H1388:H1389"/>
    <mergeCell ref="H1512:H1515"/>
    <mergeCell ref="H1535:H1536"/>
    <mergeCell ref="H1537:H1538"/>
    <mergeCell ref="H1549:H1550"/>
    <mergeCell ref="H1560:H1561"/>
    <mergeCell ref="H1562:H1563"/>
    <mergeCell ref="H1576:H1579"/>
    <mergeCell ref="H1640:H1643"/>
    <mergeCell ref="H1647:H1648"/>
    <mergeCell ref="H1649:H1650"/>
    <mergeCell ref="H1651:H1652"/>
    <mergeCell ref="H1653:H1654"/>
    <mergeCell ref="H1655:H1656"/>
    <mergeCell ref="H1657:H1658"/>
    <mergeCell ref="H1659:H1660"/>
    <mergeCell ref="H1661:H1662"/>
    <mergeCell ref="H1663:H1664"/>
    <mergeCell ref="H1665:H1666"/>
    <mergeCell ref="H1667:H1668"/>
    <mergeCell ref="H1669:H1670"/>
    <mergeCell ref="H1671:H1672"/>
    <mergeCell ref="H1673:H1674"/>
    <mergeCell ref="H1675:H1676"/>
    <mergeCell ref="H1677:H1678"/>
    <mergeCell ref="H1679:H1680"/>
    <mergeCell ref="H1704:H1707"/>
    <mergeCell ref="H1741:H1744"/>
    <mergeCell ref="H1794:H1797"/>
    <mergeCell ref="H1858:H1861"/>
    <mergeCell ref="H1922:H1925"/>
    <mergeCell ref="H1986:H1989"/>
    <mergeCell ref="H2050:H2053"/>
    <mergeCell ref="H2514:H2515"/>
    <mergeCell ref="H2625:H2628"/>
    <mergeCell ref="H2713:H2716"/>
    <mergeCell ref="H2717:H2718"/>
    <mergeCell ref="H2777:H2780"/>
    <mergeCell ref="H2782:H2783"/>
    <mergeCell ref="H2841:H2844"/>
    <mergeCell ref="H2846:H2847"/>
    <mergeCell ref="I3:I6"/>
    <mergeCell ref="I71:I74"/>
    <mergeCell ref="I110:I111"/>
    <mergeCell ref="I112:I113"/>
    <mergeCell ref="I135:I138"/>
    <mergeCell ref="I201:I204"/>
    <mergeCell ref="I331:I334"/>
    <mergeCell ref="I398:I401"/>
    <mergeCell ref="I462:I465"/>
    <mergeCell ref="I518:I521"/>
    <mergeCell ref="I582:I585"/>
    <mergeCell ref="I648:I651"/>
    <mergeCell ref="I652:I653"/>
    <mergeCell ref="I654:I655"/>
    <mergeCell ref="I656:I657"/>
    <mergeCell ref="I658:I659"/>
    <mergeCell ref="I660:I661"/>
    <mergeCell ref="I662:I663"/>
    <mergeCell ref="I664:I665"/>
    <mergeCell ref="I666:I667"/>
    <mergeCell ref="I668:I669"/>
    <mergeCell ref="I670:I671"/>
    <mergeCell ref="I672:I673"/>
    <mergeCell ref="I674:I675"/>
    <mergeCell ref="I714:I717"/>
    <mergeCell ref="I780:I783"/>
    <mergeCell ref="I844:I847"/>
    <mergeCell ref="I911:I914"/>
    <mergeCell ref="I1254:I1257"/>
    <mergeCell ref="I1318:I1321"/>
    <mergeCell ref="I1382:I1385"/>
    <mergeCell ref="I1388:I1389"/>
    <mergeCell ref="I1512:I1515"/>
    <mergeCell ref="I1535:I1536"/>
    <mergeCell ref="I1537:I1538"/>
    <mergeCell ref="I1549:I1550"/>
    <mergeCell ref="I1560:I1561"/>
    <mergeCell ref="I1562:I1563"/>
    <mergeCell ref="I1576:I1579"/>
    <mergeCell ref="I1640:I1643"/>
    <mergeCell ref="I1647:I1648"/>
    <mergeCell ref="I1649:I1650"/>
    <mergeCell ref="I1651:I1652"/>
    <mergeCell ref="I1653:I1654"/>
    <mergeCell ref="I1655:I1656"/>
    <mergeCell ref="I1657:I1658"/>
    <mergeCell ref="I1659:I1660"/>
    <mergeCell ref="I1661:I1662"/>
    <mergeCell ref="I1663:I1664"/>
    <mergeCell ref="I1665:I1666"/>
    <mergeCell ref="I1667:I1668"/>
    <mergeCell ref="I1669:I1670"/>
    <mergeCell ref="I1671:I1672"/>
    <mergeCell ref="I1673:I1674"/>
    <mergeCell ref="I1675:I1676"/>
    <mergeCell ref="I1677:I1678"/>
    <mergeCell ref="I1679:I1680"/>
    <mergeCell ref="I1704:I1707"/>
    <mergeCell ref="I1741:I1744"/>
    <mergeCell ref="I1794:I1797"/>
    <mergeCell ref="I1858:I1861"/>
    <mergeCell ref="I1922:I1925"/>
    <mergeCell ref="I1986:I1989"/>
    <mergeCell ref="I2050:I2053"/>
    <mergeCell ref="I2514:I2515"/>
    <mergeCell ref="I2516:I2517"/>
    <mergeCell ref="I2518:I2519"/>
    <mergeCell ref="I2520:I2521"/>
    <mergeCell ref="I2522:I2523"/>
    <mergeCell ref="I2524:I2525"/>
    <mergeCell ref="I2526:I2527"/>
    <mergeCell ref="I2528:I2529"/>
    <mergeCell ref="I2530:I2531"/>
    <mergeCell ref="I2532:I2533"/>
    <mergeCell ref="I2534:I2535"/>
    <mergeCell ref="I2536:I2537"/>
    <mergeCell ref="I2538:I2539"/>
    <mergeCell ref="I2540:I2541"/>
    <mergeCell ref="I2542:I2543"/>
    <mergeCell ref="I2544:I2545"/>
    <mergeCell ref="I2546:I2547"/>
    <mergeCell ref="I2548:I2549"/>
    <mergeCell ref="I2550:I2551"/>
    <mergeCell ref="I2552:I2553"/>
    <mergeCell ref="I2554:I2555"/>
    <mergeCell ref="I2556:I2557"/>
    <mergeCell ref="I2558:I2559"/>
    <mergeCell ref="I2560:I2561"/>
    <mergeCell ref="I2562:I2563"/>
    <mergeCell ref="I2564:I2565"/>
    <mergeCell ref="I2566:I2567"/>
    <mergeCell ref="I2568:I2569"/>
    <mergeCell ref="I2570:I2571"/>
    <mergeCell ref="I2572:I2573"/>
    <mergeCell ref="I2574:I2575"/>
    <mergeCell ref="I2576:I2577"/>
    <mergeCell ref="I2578:I2579"/>
    <mergeCell ref="I2580:I2581"/>
    <mergeCell ref="I2582:I2583"/>
    <mergeCell ref="I2584:I2585"/>
    <mergeCell ref="I2586:I2587"/>
    <mergeCell ref="I2588:I2589"/>
    <mergeCell ref="I2590:I2591"/>
    <mergeCell ref="I2592:I2593"/>
    <mergeCell ref="I2625:I2628"/>
    <mergeCell ref="I2713:I2716"/>
    <mergeCell ref="I2717:I2718"/>
    <mergeCell ref="I2777:I2780"/>
    <mergeCell ref="I2782:I2783"/>
    <mergeCell ref="I2841:I2844"/>
    <mergeCell ref="I2846:I2847"/>
    <mergeCell ref="J3:J6"/>
    <mergeCell ref="J71:J74"/>
    <mergeCell ref="J110:J111"/>
    <mergeCell ref="J112:J113"/>
    <mergeCell ref="J135:J138"/>
    <mergeCell ref="J201:J204"/>
    <mergeCell ref="J331:J334"/>
    <mergeCell ref="J398:J401"/>
    <mergeCell ref="J462:J465"/>
    <mergeCell ref="J518:J521"/>
    <mergeCell ref="J582:J585"/>
    <mergeCell ref="J648:J651"/>
    <mergeCell ref="J652:J653"/>
    <mergeCell ref="J654:J655"/>
    <mergeCell ref="J656:J657"/>
    <mergeCell ref="J658:J659"/>
    <mergeCell ref="J660:J661"/>
    <mergeCell ref="J662:J663"/>
    <mergeCell ref="J664:J665"/>
    <mergeCell ref="J666:J667"/>
    <mergeCell ref="J668:J669"/>
    <mergeCell ref="J670:J671"/>
    <mergeCell ref="J672:J673"/>
    <mergeCell ref="J674:J675"/>
    <mergeCell ref="J714:J717"/>
    <mergeCell ref="J780:J783"/>
    <mergeCell ref="J844:J847"/>
    <mergeCell ref="J911:J914"/>
    <mergeCell ref="J1254:J1257"/>
    <mergeCell ref="J1318:J1321"/>
    <mergeCell ref="J1382:J1385"/>
    <mergeCell ref="J1388:J1389"/>
    <mergeCell ref="J1512:J1515"/>
    <mergeCell ref="J1535:J1536"/>
    <mergeCell ref="J1537:J1538"/>
    <mergeCell ref="J1549:J1550"/>
    <mergeCell ref="J1560:J1561"/>
    <mergeCell ref="J1562:J1563"/>
    <mergeCell ref="J1576:J1579"/>
    <mergeCell ref="J1640:J1643"/>
    <mergeCell ref="J1647:J1648"/>
    <mergeCell ref="J1649:J1650"/>
    <mergeCell ref="J1651:J1652"/>
    <mergeCell ref="J1653:J1654"/>
    <mergeCell ref="J1655:J1656"/>
    <mergeCell ref="J1657:J1658"/>
    <mergeCell ref="J1659:J1660"/>
    <mergeCell ref="J1661:J1662"/>
    <mergeCell ref="J1663:J1664"/>
    <mergeCell ref="J1665:J1666"/>
    <mergeCell ref="J1667:J1668"/>
    <mergeCell ref="J1669:J1670"/>
    <mergeCell ref="J1671:J1672"/>
    <mergeCell ref="J1673:J1674"/>
    <mergeCell ref="J1675:J1676"/>
    <mergeCell ref="J1677:J1678"/>
    <mergeCell ref="J1679:J1680"/>
    <mergeCell ref="J1704:J1707"/>
    <mergeCell ref="J1741:J1744"/>
    <mergeCell ref="J1794:J1797"/>
    <mergeCell ref="J1858:J1861"/>
    <mergeCell ref="J1922:J1925"/>
    <mergeCell ref="J1986:J1989"/>
    <mergeCell ref="J2050:J2053"/>
    <mergeCell ref="J2514:J2515"/>
    <mergeCell ref="J2516:J2517"/>
    <mergeCell ref="J2518:J2519"/>
    <mergeCell ref="J2520:J2521"/>
    <mergeCell ref="J2522:J2523"/>
    <mergeCell ref="J2524:J2525"/>
    <mergeCell ref="J2526:J2527"/>
    <mergeCell ref="J2528:J2529"/>
    <mergeCell ref="J2530:J2531"/>
    <mergeCell ref="J2532:J2533"/>
    <mergeCell ref="J2534:J2535"/>
    <mergeCell ref="J2536:J2537"/>
    <mergeCell ref="J2538:J2539"/>
    <mergeCell ref="J2540:J2541"/>
    <mergeCell ref="J2542:J2543"/>
    <mergeCell ref="J2544:J2545"/>
    <mergeCell ref="J2546:J2547"/>
    <mergeCell ref="J2548:J2549"/>
    <mergeCell ref="J2550:J2551"/>
    <mergeCell ref="J2552:J2553"/>
    <mergeCell ref="J2554:J2555"/>
    <mergeCell ref="J2556:J2557"/>
    <mergeCell ref="J2558:J2559"/>
    <mergeCell ref="J2560:J2561"/>
    <mergeCell ref="J2562:J2563"/>
    <mergeCell ref="J2564:J2565"/>
    <mergeCell ref="J2566:J2567"/>
    <mergeCell ref="J2568:J2569"/>
    <mergeCell ref="J2570:J2571"/>
    <mergeCell ref="J2572:J2573"/>
    <mergeCell ref="J2574:J2575"/>
    <mergeCell ref="J2576:J2577"/>
    <mergeCell ref="J2578:J2579"/>
    <mergeCell ref="J2580:J2581"/>
    <mergeCell ref="J2582:J2583"/>
    <mergeCell ref="J2584:J2585"/>
    <mergeCell ref="J2586:J2587"/>
    <mergeCell ref="J2588:J2589"/>
    <mergeCell ref="J2590:J2591"/>
    <mergeCell ref="J2592:J2593"/>
    <mergeCell ref="J2625:J2628"/>
    <mergeCell ref="J2713:J2716"/>
    <mergeCell ref="J2717:J2718"/>
    <mergeCell ref="J2777:J2780"/>
    <mergeCell ref="J2782:J2783"/>
    <mergeCell ref="J2841:J2844"/>
    <mergeCell ref="J2846:J2847"/>
    <mergeCell ref="K110:K111"/>
    <mergeCell ref="K112:K113"/>
    <mergeCell ref="K201:K204"/>
    <mergeCell ref="K331:K334"/>
    <mergeCell ref="K398:K401"/>
    <mergeCell ref="K462:K465"/>
    <mergeCell ref="K518:K521"/>
    <mergeCell ref="K582:K585"/>
    <mergeCell ref="K648:K651"/>
    <mergeCell ref="K652:K653"/>
    <mergeCell ref="K654:K655"/>
    <mergeCell ref="K656:K657"/>
    <mergeCell ref="K658:K659"/>
    <mergeCell ref="K660:K661"/>
    <mergeCell ref="K662:K663"/>
    <mergeCell ref="K664:K665"/>
    <mergeCell ref="K666:K667"/>
    <mergeCell ref="K668:K669"/>
    <mergeCell ref="K670:K671"/>
    <mergeCell ref="K672:K673"/>
    <mergeCell ref="K674:K675"/>
    <mergeCell ref="K714:K717"/>
    <mergeCell ref="K780:K783"/>
    <mergeCell ref="K844:K847"/>
    <mergeCell ref="K911:K914"/>
    <mergeCell ref="K1512:K1515"/>
    <mergeCell ref="K1549:K1550"/>
    <mergeCell ref="K1576:K1579"/>
    <mergeCell ref="K2717:K2718"/>
    <mergeCell ref="K2782:K2783"/>
    <mergeCell ref="K2846:K2847"/>
  </mergeCells>
  <dataValidations count="5">
    <dataValidation type="list" allowBlank="1" showInputMessage="1" showErrorMessage="1" sqref="K648 K1246 K1415 K1430 K1431 K1432 K1433 K1434 K2706 K649:K675 K714:K730 K990:K1001 K1005:K1019 K1025:K1038 K1043:K1055 K1062:K1084 K1090:K1124 K1141:K1174 K1189:K1219 K1225:K1230 K1254:K1351 K1382:K1396 K1512:K1579 K1640:K1681 K1704:K1707">
      <formula1>"Manager,Installer,End User"</formula1>
    </dataValidation>
    <dataValidation type="list" allowBlank="1" showInputMessage="1" showErrorMessage="1" sqref="D2 D66 D67 D68 D69 D147 D168 D169 D170 D321 D322 D466 D621 D622 D623 D631 D645 D1084 D1085 D1086 D1107 D1108 D1109 D1110 D1111 D1112 D1113 D1114 D1115 D1116 D1117 D1118 D1119 D1120 D1121 D1122 D1123 D1124 D1174 D1175 D1176 D1517 D1518 D1519 D2704 D2707 D2708 D2709 D2710 D2711 D3:D6 D7:D23 D24:D44 D45:D50 D51:D56 D57:D62 D63:D65 D70:D146 D148:D167 D171:D172 D173:D182 D183:D189 D190:D265 D266:D272 D273:D276 D277:D285 D286:D294 D295:D303 D304:D312 D313:D314 D315:D320 D323:D327 D328:D329 D330:D465 D467:D613 D614:D620 D624:D627 D628:D630 D632:D639 D640:D641 D642:D644 D646:D778 D780:D833 D837:D838 D842:D847 D851:D852 D856:D857 D861:D862 D866:D909 D911:D1083 D1087:D1106 D1125:D1126 D1127:D1128 D1129:D1130 D1131:D1132 D1133:D1134 D1135:D1136 D1137:D1173 D1177:D1182 D1183:D1184 D1185:D1230 D1237:D1388 D1390:D1394 D1395:D1396 D1397:D1413 D1414:D1415 D1417:D1420 D1421:D1429 D1430:D1434 D1435:D1516 D1520:D1521 D1522:D2703 D2705:D2706 D2712:D2738 D2743:D2782 D2784:D2833 D2834:D2835 D2836:D2846 D2848:D2896 D2898:D2908 D2909:D1048576">
      <formula1>"U16,I16,U32,I32,U64,BCD16,ASCII"</formula1>
    </dataValidation>
    <dataValidation type="list" allowBlank="1" showInputMessage="1" showErrorMessage="1" sqref="K780:K783 K844:K847 K911:K914">
      <formula1>"Manager,Installer"</formula1>
    </dataValidation>
    <dataValidation type="list" allowBlank="1" showInputMessage="1" showErrorMessage="1" sqref="I2 I66 I67 I68 I147 I321 I322 I466 I621 I622 I623 I631 I645 I646 I1084 I1085 I1086 I1107 I1108 I1109 I1112 I1113 I1114 I1115 I1119 I1120 I1123 I1124 I1517 I1518 I1519 I2704 I2707 I2708 I2709 I2710 I2711 I2782 I2846 I3:I6 I7:I23 I24:I44 I45:I50 I51:I56 I57:I62 I63:I65 I71:I146 I148:I170 I171:I172 I173:I182 I183:I189 I190:I199 I201:I265 I266:I272 I273:I276 I277:I285 I286:I294 I295:I303 I304:I312 I313:I314 I315:I320 I323:I327 I328:I329 I331:I396 I398:I465 I467:I516 I518:I613 I614:I620 I624:I627 I628:I630 I632:I639 I640:I641 I642:I644 I648:I652 I654:I656 I658:I660 I662:I664 I666:I668 I670:I672 I674:I712 I714:I778 I780:I833 I837:I838 I842:I847 I851:I852 I856:I857 I861:I862 I866:I909 I911:I987 I990:I1003 I1005:I1023 I1025:I1041 I1043:I1060 I1062:I1083 I1087:I1088 I1090:I1106 I1110:I1111 I1116:I1118 I1121:I1122 I1125:I1126 I1127:I1128 I1129:I1130 I1131:I1132 I1133:I1134 I1135:I1136 I1137:I1139 I1141:I1174 I1175:I1182 I1183:I1184 I1185:I1187 I1189:I1223 I1225:I1230 I1237:I1244 I1246:I1251 I1254:I1388 I1390:I1394 I1395:I1396 I1397:I1413 I1414:I1415 I1417:I1420 I1421:I1429 I1430:I1434 I1435:I1510 I1512:I1516 I1520:I1521 I1522:I1739 I1741:I2623 I2625:I2703 I2705:I2706 I2713:I2738 I2743:I2780 I2784:I2833 I2834:I2835 I2836:I2844 I2848:I2896 I2898:I2908 I2909:I1048576">
      <formula1>"R,W,RW,WV,RWV"</formula1>
    </dataValidation>
    <dataValidation type="list" allowBlank="1" showInputMessage="1" showErrorMessage="1" sqref="K2 K66 K67 K68 K69 K70 K139 K321 K322 K330 K631 K645 K1085 K1086 K1414 K2704 K2705 K2707 K2708 K2709 K2710 K2711 K11:K23 K24:K44 K45:K50 K51:K56 K57:K62 K63:K65 K130:K134 K185:K189 K190:K200 K262:K265 K266:K272 K273:K276 K277:K285 K286:K294 K295:K303 K304:K312 K313:K314 K315:K320 K323:K327 K328:K329 K371:K397 K450:K461 K467:K517 K614:K620 K624:K627 K628:K630 K632:K639 K640:K641 K642:K644 K646:K647 K676:K713 K731:K778 K784:K843 K848:K909 K915:K989 K1002:K1004 K1020:K1024 K1039:K1042 K1056:K1061 K1087:K1089 K1125:K1126 K1127:K1128 K1129:K1130 K1131:K1132 K1133:K1134 K1135:K1136 K1137:K1140 K1175:K1177 K1178:K1182 K1183:K1184 K1185:K1188 K1220:K1224 K1237:K1245 K1247:K1253 K1352:K1381 K1397:K1413 K1417:K1420 K1421:K1429 K1435:K1511 K1580:K1639 K1682:K1703 K1708:K2703 K2712:K2908 K2909:K1048576">
      <formula1>"管理员,安装商,终端用户"</formula1>
    </dataValidation>
  </dataValidations>
  <pageMargins left="0.7" right="0.7" top="0.75" bottom="0.75" header="0.3" footer="0.3"/>
  <pageSetup paperSize="9" orientation="portrait"/>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433"/>
  <sheetViews>
    <sheetView workbookViewId="0">
      <pane ySplit="1" topLeftCell="A2" activePane="bottomLeft" state="frozen"/>
      <selection/>
      <selection pane="bottomLeft" activeCell="A1" sqref="A1:H1"/>
    </sheetView>
  </sheetViews>
  <sheetFormatPr defaultColWidth="9" defaultRowHeight="14.25"/>
  <cols>
    <col min="1" max="1" width="9" style="16"/>
    <col min="2" max="2" width="12.375" style="16" customWidth="1"/>
    <col min="3" max="3" width="9" style="16"/>
    <col min="4" max="4" width="26.625" style="16" customWidth="1"/>
    <col min="5" max="5" width="11.125" style="17" customWidth="1"/>
    <col min="6" max="6" width="45.875" style="16" customWidth="1"/>
    <col min="7" max="7" width="13.875" style="16" customWidth="1"/>
    <col min="8" max="8" width="14.25" style="18" customWidth="1"/>
    <col min="9" max="9" width="23.5" style="16" customWidth="1"/>
    <col min="10" max="16384" width="9" style="16"/>
  </cols>
  <sheetData>
    <row r="1" s="15" customFormat="1" ht="21" customHeight="1" spans="1:8">
      <c r="A1" s="19" t="s">
        <v>3292</v>
      </c>
      <c r="B1" s="19" t="s">
        <v>3293</v>
      </c>
      <c r="C1" s="19" t="s">
        <v>3294</v>
      </c>
      <c r="D1" s="19" t="s">
        <v>48</v>
      </c>
      <c r="E1" s="19" t="s">
        <v>3295</v>
      </c>
      <c r="F1" s="19" t="s">
        <v>55</v>
      </c>
      <c r="G1" s="19" t="s">
        <v>3296</v>
      </c>
      <c r="H1" s="20" t="s">
        <v>3297</v>
      </c>
    </row>
    <row r="2" spans="1:8">
      <c r="A2" s="21" t="s">
        <v>91</v>
      </c>
      <c r="B2" s="22" t="s">
        <v>3298</v>
      </c>
      <c r="C2" s="16" t="s">
        <v>3299</v>
      </c>
      <c r="D2" s="16" t="s">
        <v>3300</v>
      </c>
      <c r="E2" s="17" t="s">
        <v>3301</v>
      </c>
      <c r="F2" s="23" t="s">
        <v>3302</v>
      </c>
      <c r="G2" s="16" t="s">
        <v>3303</v>
      </c>
      <c r="H2" s="24" t="s">
        <v>3304</v>
      </c>
    </row>
    <row r="3" spans="1:8">
      <c r="A3" s="21"/>
      <c r="B3" s="22"/>
      <c r="C3" s="16" t="s">
        <v>3305</v>
      </c>
      <c r="D3" s="16" t="s">
        <v>3306</v>
      </c>
      <c r="E3" s="17" t="s">
        <v>3307</v>
      </c>
      <c r="F3" s="23" t="s">
        <v>3308</v>
      </c>
      <c r="G3" s="16" t="s">
        <v>3303</v>
      </c>
      <c r="H3" s="24"/>
    </row>
    <row r="4" spans="1:8">
      <c r="A4" s="21"/>
      <c r="B4" s="22"/>
      <c r="C4" s="16" t="s">
        <v>3309</v>
      </c>
      <c r="D4" s="16" t="s">
        <v>3310</v>
      </c>
      <c r="E4" s="17" t="s">
        <v>3311</v>
      </c>
      <c r="F4" s="23" t="s">
        <v>3312</v>
      </c>
      <c r="G4" s="16" t="s">
        <v>3303</v>
      </c>
      <c r="H4" s="24"/>
    </row>
    <row r="5" spans="1:8">
      <c r="A5" s="21"/>
      <c r="B5" s="22"/>
      <c r="C5" s="16" t="s">
        <v>3313</v>
      </c>
      <c r="D5" s="16" t="s">
        <v>3314</v>
      </c>
      <c r="E5" s="17" t="s">
        <v>3315</v>
      </c>
      <c r="F5" s="23" t="s">
        <v>3316</v>
      </c>
      <c r="G5" s="16" t="s">
        <v>3303</v>
      </c>
      <c r="H5" s="24"/>
    </row>
    <row r="6" spans="1:8">
      <c r="A6" s="21"/>
      <c r="B6" s="22"/>
      <c r="C6" s="16" t="s">
        <v>3317</v>
      </c>
      <c r="D6" s="16" t="s">
        <v>781</v>
      </c>
      <c r="E6" s="17" t="s">
        <v>3318</v>
      </c>
      <c r="F6" s="23" t="s">
        <v>3319</v>
      </c>
      <c r="G6" s="16" t="s">
        <v>3320</v>
      </c>
      <c r="H6" s="24"/>
    </row>
    <row r="7" spans="1:8">
      <c r="A7" s="21"/>
      <c r="B7" s="22"/>
      <c r="C7" s="16" t="s">
        <v>3321</v>
      </c>
      <c r="D7" s="16" t="s">
        <v>3322</v>
      </c>
      <c r="E7" s="17" t="s">
        <v>3323</v>
      </c>
      <c r="F7" s="23" t="s">
        <v>3324</v>
      </c>
      <c r="G7" s="16" t="s">
        <v>3303</v>
      </c>
      <c r="H7" s="24"/>
    </row>
    <row r="8" spans="1:8">
      <c r="A8" s="21"/>
      <c r="B8" s="22"/>
      <c r="C8" s="16" t="s">
        <v>3325</v>
      </c>
      <c r="D8" s="16" t="s">
        <v>3326</v>
      </c>
      <c r="E8" s="17" t="s">
        <v>3327</v>
      </c>
      <c r="F8" s="23" t="s">
        <v>3328</v>
      </c>
      <c r="G8" s="16" t="s">
        <v>3303</v>
      </c>
      <c r="H8" s="24"/>
    </row>
    <row r="9" spans="1:8">
      <c r="A9" s="21"/>
      <c r="B9" s="22"/>
      <c r="C9" s="16" t="s">
        <v>3329</v>
      </c>
      <c r="D9" s="16" t="s">
        <v>3330</v>
      </c>
      <c r="E9" s="17" t="s">
        <v>3331</v>
      </c>
      <c r="F9" s="23" t="s">
        <v>3332</v>
      </c>
      <c r="G9" s="16" t="s">
        <v>3303</v>
      </c>
      <c r="H9" s="24"/>
    </row>
    <row r="10" spans="1:8">
      <c r="A10" s="21"/>
      <c r="B10" s="22" t="s">
        <v>3333</v>
      </c>
      <c r="C10" s="16" t="s">
        <v>3299</v>
      </c>
      <c r="D10" s="16" t="s">
        <v>3334</v>
      </c>
      <c r="E10" s="17" t="s">
        <v>3335</v>
      </c>
      <c r="F10" s="25" t="s">
        <v>3336</v>
      </c>
      <c r="G10" s="16" t="s">
        <v>3303</v>
      </c>
      <c r="H10" s="24"/>
    </row>
    <row r="11" spans="1:8">
      <c r="A11" s="21"/>
      <c r="B11" s="22"/>
      <c r="C11" s="16" t="s">
        <v>3305</v>
      </c>
      <c r="D11" s="16" t="s">
        <v>3337</v>
      </c>
      <c r="E11" s="17" t="s">
        <v>3338</v>
      </c>
      <c r="F11" s="25" t="s">
        <v>3339</v>
      </c>
      <c r="G11" s="16" t="s">
        <v>3303</v>
      </c>
      <c r="H11" s="24"/>
    </row>
    <row r="12" spans="1:8">
      <c r="A12" s="21"/>
      <c r="B12" s="22"/>
      <c r="C12" s="16" t="s">
        <v>3309</v>
      </c>
      <c r="D12" s="16" t="s">
        <v>3340</v>
      </c>
      <c r="E12" s="17" t="s">
        <v>3341</v>
      </c>
      <c r="F12" s="25" t="s">
        <v>3342</v>
      </c>
      <c r="G12" s="16" t="s">
        <v>3303</v>
      </c>
      <c r="H12" s="24"/>
    </row>
    <row r="13" spans="1:8">
      <c r="A13" s="21"/>
      <c r="B13" s="22"/>
      <c r="C13" s="16" t="s">
        <v>3313</v>
      </c>
      <c r="D13" s="26" t="s">
        <v>3343</v>
      </c>
      <c r="E13" s="27" t="s">
        <v>3344</v>
      </c>
      <c r="F13" s="28" t="s">
        <v>3345</v>
      </c>
      <c r="G13" s="16" t="s">
        <v>3303</v>
      </c>
      <c r="H13" s="24"/>
    </row>
    <row r="14" spans="1:8">
      <c r="A14" s="21"/>
      <c r="B14" s="22"/>
      <c r="C14" s="16" t="s">
        <v>3317</v>
      </c>
      <c r="D14" s="16" t="s">
        <v>3346</v>
      </c>
      <c r="E14" s="27" t="s">
        <v>3347</v>
      </c>
      <c r="F14" s="28" t="s">
        <v>3348</v>
      </c>
      <c r="G14" s="16" t="s">
        <v>3320</v>
      </c>
      <c r="H14" s="24"/>
    </row>
    <row r="15" spans="1:8">
      <c r="A15" s="21"/>
      <c r="B15" s="22"/>
      <c r="C15" s="16" t="s">
        <v>3321</v>
      </c>
      <c r="E15" s="17" t="s">
        <v>3349</v>
      </c>
      <c r="F15" s="29"/>
      <c r="H15" s="24"/>
    </row>
    <row r="16" spans="1:8">
      <c r="A16" s="21"/>
      <c r="B16" s="22"/>
      <c r="C16" s="16" t="s">
        <v>3325</v>
      </c>
      <c r="E16" s="17" t="s">
        <v>3350</v>
      </c>
      <c r="F16" s="29"/>
      <c r="H16" s="24"/>
    </row>
    <row r="17" spans="1:8">
      <c r="A17" s="21"/>
      <c r="B17" s="22"/>
      <c r="C17" s="16" t="s">
        <v>3329</v>
      </c>
      <c r="E17" s="17" t="s">
        <v>3351</v>
      </c>
      <c r="F17" s="29"/>
      <c r="H17" s="24"/>
    </row>
    <row r="18" spans="1:8">
      <c r="A18" s="21" t="s">
        <v>93</v>
      </c>
      <c r="B18" s="22" t="s">
        <v>3298</v>
      </c>
      <c r="C18" s="16" t="s">
        <v>3299</v>
      </c>
      <c r="D18" s="16" t="s">
        <v>3352</v>
      </c>
      <c r="E18" s="17" t="s">
        <v>3353</v>
      </c>
      <c r="F18" s="25" t="s">
        <v>3354</v>
      </c>
      <c r="G18" s="16" t="s">
        <v>3303</v>
      </c>
      <c r="H18" s="30" t="s">
        <v>3355</v>
      </c>
    </row>
    <row r="19" spans="1:8">
      <c r="A19" s="21"/>
      <c r="B19" s="22"/>
      <c r="C19" s="16" t="s">
        <v>3305</v>
      </c>
      <c r="D19" s="31" t="s">
        <v>3356</v>
      </c>
      <c r="E19" s="17" t="s">
        <v>3357</v>
      </c>
      <c r="F19" s="25" t="s">
        <v>3358</v>
      </c>
      <c r="G19" s="16" t="s">
        <v>3303</v>
      </c>
      <c r="H19" s="32"/>
    </row>
    <row r="20" spans="1:8">
      <c r="A20" s="21"/>
      <c r="B20" s="22"/>
      <c r="C20" s="16" t="s">
        <v>3309</v>
      </c>
      <c r="D20" s="16" t="s">
        <v>3359</v>
      </c>
      <c r="E20" s="17" t="s">
        <v>3360</v>
      </c>
      <c r="F20" s="25" t="s">
        <v>3361</v>
      </c>
      <c r="G20" s="16" t="s">
        <v>3362</v>
      </c>
      <c r="H20" s="32"/>
    </row>
    <row r="21" spans="1:8">
      <c r="A21" s="21"/>
      <c r="B21" s="22"/>
      <c r="C21" s="16" t="s">
        <v>3313</v>
      </c>
      <c r="D21" s="16" t="s">
        <v>3363</v>
      </c>
      <c r="E21" s="17" t="s">
        <v>3364</v>
      </c>
      <c r="F21" s="25" t="s">
        <v>3365</v>
      </c>
      <c r="G21" s="16" t="s">
        <v>3303</v>
      </c>
      <c r="H21" s="32"/>
    </row>
    <row r="22" spans="1:8">
      <c r="A22" s="21"/>
      <c r="B22" s="22"/>
      <c r="C22" s="16" t="s">
        <v>3317</v>
      </c>
      <c r="D22" s="16" t="s">
        <v>3366</v>
      </c>
      <c r="E22" s="17" t="s">
        <v>3367</v>
      </c>
      <c r="F22" s="25" t="s">
        <v>3368</v>
      </c>
      <c r="G22" s="16" t="s">
        <v>3362</v>
      </c>
      <c r="H22" s="32"/>
    </row>
    <row r="23" spans="1:8">
      <c r="A23" s="21"/>
      <c r="B23" s="22"/>
      <c r="C23" s="16" t="s">
        <v>3321</v>
      </c>
      <c r="D23" s="16" t="s">
        <v>3369</v>
      </c>
      <c r="E23" s="17" t="s">
        <v>3370</v>
      </c>
      <c r="F23" s="25" t="s">
        <v>3371</v>
      </c>
      <c r="G23" s="16" t="s">
        <v>3303</v>
      </c>
      <c r="H23" s="32"/>
    </row>
    <row r="24" spans="1:8">
      <c r="A24" s="21"/>
      <c r="B24" s="22"/>
      <c r="C24" s="16" t="s">
        <v>3325</v>
      </c>
      <c r="D24" s="16" t="s">
        <v>3372</v>
      </c>
      <c r="E24" s="17" t="s">
        <v>3373</v>
      </c>
      <c r="F24" s="25" t="s">
        <v>3374</v>
      </c>
      <c r="G24" s="16" t="s">
        <v>3303</v>
      </c>
      <c r="H24" s="32"/>
    </row>
    <row r="25" spans="1:8">
      <c r="A25" s="21"/>
      <c r="B25" s="22"/>
      <c r="C25" s="16" t="s">
        <v>3329</v>
      </c>
      <c r="D25" s="16" t="s">
        <v>3375</v>
      </c>
      <c r="E25" s="17" t="s">
        <v>3376</v>
      </c>
      <c r="F25" s="23" t="s">
        <v>3377</v>
      </c>
      <c r="G25" s="16" t="s">
        <v>3362</v>
      </c>
      <c r="H25" s="32"/>
    </row>
    <row r="26" spans="1:11">
      <c r="A26" s="21"/>
      <c r="B26" s="22" t="s">
        <v>3333</v>
      </c>
      <c r="C26" s="16" t="s">
        <v>3299</v>
      </c>
      <c r="D26" s="31" t="s">
        <v>3378</v>
      </c>
      <c r="E26" s="17" t="s">
        <v>3379</v>
      </c>
      <c r="F26" s="23" t="s">
        <v>3380</v>
      </c>
      <c r="G26" s="16" t="s">
        <v>3362</v>
      </c>
      <c r="H26" s="32"/>
      <c r="K26" s="29"/>
    </row>
    <row r="27" spans="1:11">
      <c r="A27" s="21"/>
      <c r="B27" s="22"/>
      <c r="C27" s="16" t="s">
        <v>3305</v>
      </c>
      <c r="D27" s="31" t="s">
        <v>3381</v>
      </c>
      <c r="E27" s="17" t="s">
        <v>3382</v>
      </c>
      <c r="F27" s="25" t="s">
        <v>3383</v>
      </c>
      <c r="G27" s="16" t="s">
        <v>3362</v>
      </c>
      <c r="H27" s="32"/>
      <c r="K27" s="29"/>
    </row>
    <row r="28" spans="1:11">
      <c r="A28" s="21"/>
      <c r="B28" s="22"/>
      <c r="C28" s="16" t="s">
        <v>3309</v>
      </c>
      <c r="E28" s="17" t="s">
        <v>3384</v>
      </c>
      <c r="F28" s="29"/>
      <c r="H28" s="32"/>
      <c r="K28" s="29"/>
    </row>
    <row r="29" spans="1:11">
      <c r="A29" s="21"/>
      <c r="B29" s="22"/>
      <c r="C29" s="16" t="s">
        <v>3313</v>
      </c>
      <c r="E29" s="17" t="s">
        <v>3385</v>
      </c>
      <c r="F29" s="29"/>
      <c r="H29" s="32"/>
      <c r="K29" s="29"/>
    </row>
    <row r="30" spans="1:8">
      <c r="A30" s="21"/>
      <c r="B30" s="22"/>
      <c r="C30" s="16" t="s">
        <v>3317</v>
      </c>
      <c r="D30" s="16" t="s">
        <v>3386</v>
      </c>
      <c r="E30" s="17" t="s">
        <v>3387</v>
      </c>
      <c r="F30" s="25" t="s">
        <v>3388</v>
      </c>
      <c r="G30" s="16" t="s">
        <v>3362</v>
      </c>
      <c r="H30" s="32"/>
    </row>
    <row r="31" spans="1:8">
      <c r="A31" s="21"/>
      <c r="B31" s="22"/>
      <c r="C31" s="16" t="s">
        <v>3321</v>
      </c>
      <c r="D31" s="16" t="s">
        <v>3389</v>
      </c>
      <c r="E31" s="17" t="s">
        <v>3390</v>
      </c>
      <c r="F31" s="25" t="s">
        <v>3391</v>
      </c>
      <c r="G31" s="16" t="s">
        <v>3362</v>
      </c>
      <c r="H31" s="32"/>
    </row>
    <row r="32" spans="1:8">
      <c r="A32" s="21"/>
      <c r="B32" s="22"/>
      <c r="C32" s="16" t="s">
        <v>3325</v>
      </c>
      <c r="D32" s="31" t="s">
        <v>3392</v>
      </c>
      <c r="E32" s="17" t="s">
        <v>3393</v>
      </c>
      <c r="F32" s="25" t="s">
        <v>3394</v>
      </c>
      <c r="G32" s="16" t="s">
        <v>3362</v>
      </c>
      <c r="H32" s="32"/>
    </row>
    <row r="33" spans="1:11">
      <c r="A33" s="21"/>
      <c r="B33" s="22"/>
      <c r="C33" s="16" t="s">
        <v>3329</v>
      </c>
      <c r="E33" s="17" t="s">
        <v>3395</v>
      </c>
      <c r="F33" s="29"/>
      <c r="H33" s="33"/>
      <c r="K33" s="29"/>
    </row>
    <row r="34" spans="1:11">
      <c r="A34" s="21" t="s">
        <v>95</v>
      </c>
      <c r="B34" s="22" t="s">
        <v>3298</v>
      </c>
      <c r="C34" s="16" t="s">
        <v>3299</v>
      </c>
      <c r="D34" s="16" t="s">
        <v>3396</v>
      </c>
      <c r="E34" s="17" t="s">
        <v>3397</v>
      </c>
      <c r="F34" s="25" t="s">
        <v>3398</v>
      </c>
      <c r="H34" s="24"/>
      <c r="K34" s="29"/>
    </row>
    <row r="35" spans="1:11">
      <c r="A35" s="21"/>
      <c r="B35" s="22"/>
      <c r="C35" s="16" t="s">
        <v>3305</v>
      </c>
      <c r="D35" s="16" t="s">
        <v>3399</v>
      </c>
      <c r="E35" s="17" t="s">
        <v>3400</v>
      </c>
      <c r="F35" s="25" t="s">
        <v>3401</v>
      </c>
      <c r="H35" s="24"/>
      <c r="K35" s="29"/>
    </row>
    <row r="36" spans="1:11">
      <c r="A36" s="21"/>
      <c r="B36" s="22"/>
      <c r="C36" s="16" t="s">
        <v>3309</v>
      </c>
      <c r="D36" s="16" t="s">
        <v>3402</v>
      </c>
      <c r="E36" s="17" t="s">
        <v>3403</v>
      </c>
      <c r="F36" s="25" t="s">
        <v>3404</v>
      </c>
      <c r="H36" s="24"/>
      <c r="K36" s="29"/>
    </row>
    <row r="37" spans="1:11">
      <c r="A37" s="21"/>
      <c r="B37" s="22"/>
      <c r="C37" s="16" t="s">
        <v>3313</v>
      </c>
      <c r="D37" s="16" t="s">
        <v>3405</v>
      </c>
      <c r="E37" s="17" t="s">
        <v>3406</v>
      </c>
      <c r="F37" s="25" t="s">
        <v>3407</v>
      </c>
      <c r="H37" s="24"/>
      <c r="K37" s="29"/>
    </row>
    <row r="38" spans="1:11">
      <c r="A38" s="21"/>
      <c r="B38" s="22"/>
      <c r="C38" s="16" t="s">
        <v>3317</v>
      </c>
      <c r="D38" s="16" t="s">
        <v>3408</v>
      </c>
      <c r="E38" s="17" t="s">
        <v>3409</v>
      </c>
      <c r="F38" s="25" t="s">
        <v>3410</v>
      </c>
      <c r="H38" s="24"/>
      <c r="K38" s="29"/>
    </row>
    <row r="39" spans="1:11">
      <c r="A39" s="21"/>
      <c r="B39" s="22"/>
      <c r="C39" s="16" t="s">
        <v>3321</v>
      </c>
      <c r="D39" s="31" t="s">
        <v>3411</v>
      </c>
      <c r="E39" s="17" t="s">
        <v>3412</v>
      </c>
      <c r="F39" s="25" t="s">
        <v>3413</v>
      </c>
      <c r="G39" s="16" t="s">
        <v>3303</v>
      </c>
      <c r="H39" s="24"/>
      <c r="K39" s="29"/>
    </row>
    <row r="40" spans="1:11">
      <c r="A40" s="21"/>
      <c r="B40" s="22"/>
      <c r="C40" s="16" t="s">
        <v>3325</v>
      </c>
      <c r="E40" s="17" t="s">
        <v>3414</v>
      </c>
      <c r="F40" s="29"/>
      <c r="H40" s="24"/>
      <c r="K40" s="29"/>
    </row>
    <row r="41" spans="1:11">
      <c r="A41" s="21"/>
      <c r="B41" s="22"/>
      <c r="C41" s="16" t="s">
        <v>3329</v>
      </c>
      <c r="E41" s="17" t="s">
        <v>3415</v>
      </c>
      <c r="F41" s="29"/>
      <c r="H41" s="24"/>
      <c r="K41" s="29"/>
    </row>
    <row r="42" spans="1:8">
      <c r="A42" s="21"/>
      <c r="B42" s="22" t="s">
        <v>3333</v>
      </c>
      <c r="C42" s="16" t="s">
        <v>3299</v>
      </c>
      <c r="D42" s="16" t="s">
        <v>3416</v>
      </c>
      <c r="E42" s="17" t="s">
        <v>3417</v>
      </c>
      <c r="F42" s="25" t="s">
        <v>3418</v>
      </c>
      <c r="G42" s="16" t="s">
        <v>3303</v>
      </c>
      <c r="H42" s="24" t="s">
        <v>3419</v>
      </c>
    </row>
    <row r="43" spans="1:8">
      <c r="A43" s="21"/>
      <c r="B43" s="22"/>
      <c r="C43" s="16" t="s">
        <v>3305</v>
      </c>
      <c r="D43" s="16" t="s">
        <v>3420</v>
      </c>
      <c r="E43" s="17" t="s">
        <v>3421</v>
      </c>
      <c r="F43" s="25" t="s">
        <v>3422</v>
      </c>
      <c r="G43" s="16" t="s">
        <v>3362</v>
      </c>
      <c r="H43" s="24"/>
    </row>
    <row r="44" spans="1:11">
      <c r="A44" s="21"/>
      <c r="B44" s="22"/>
      <c r="C44" s="16" t="s">
        <v>3309</v>
      </c>
      <c r="D44" s="16" t="s">
        <v>3423</v>
      </c>
      <c r="E44" s="17" t="s">
        <v>3424</v>
      </c>
      <c r="F44" s="25" t="s">
        <v>3425</v>
      </c>
      <c r="G44" s="16" t="s">
        <v>3362</v>
      </c>
      <c r="H44" s="24"/>
      <c r="K44" s="29"/>
    </row>
    <row r="45" spans="1:11">
      <c r="A45" s="21"/>
      <c r="B45" s="22"/>
      <c r="C45" s="16" t="s">
        <v>3313</v>
      </c>
      <c r="D45" s="16" t="s">
        <v>3426</v>
      </c>
      <c r="E45" s="17" t="s">
        <v>3427</v>
      </c>
      <c r="F45" s="25" t="s">
        <v>3428</v>
      </c>
      <c r="G45" s="16" t="s">
        <v>3362</v>
      </c>
      <c r="H45" s="24"/>
      <c r="K45" s="34"/>
    </row>
    <row r="46" spans="1:11">
      <c r="A46" s="21"/>
      <c r="B46" s="22"/>
      <c r="C46" s="16" t="s">
        <v>3317</v>
      </c>
      <c r="D46" s="16" t="s">
        <v>3429</v>
      </c>
      <c r="E46" s="17" t="s">
        <v>3430</v>
      </c>
      <c r="F46" s="25" t="s">
        <v>3431</v>
      </c>
      <c r="G46" s="16" t="s">
        <v>3320</v>
      </c>
      <c r="H46" s="24"/>
      <c r="K46" s="29"/>
    </row>
    <row r="47" spans="1:8">
      <c r="A47" s="21"/>
      <c r="B47" s="22"/>
      <c r="C47" s="16" t="s">
        <v>3321</v>
      </c>
      <c r="D47" s="31" t="s">
        <v>3432</v>
      </c>
      <c r="E47" s="17" t="s">
        <v>3433</v>
      </c>
      <c r="F47" s="25" t="s">
        <v>3434</v>
      </c>
      <c r="G47" s="16" t="s">
        <v>3362</v>
      </c>
      <c r="H47" s="24"/>
    </row>
    <row r="48" spans="1:8">
      <c r="A48" s="21"/>
      <c r="B48" s="22"/>
      <c r="C48" s="16" t="s">
        <v>3325</v>
      </c>
      <c r="D48" s="31" t="s">
        <v>3435</v>
      </c>
      <c r="E48" s="17" t="s">
        <v>3436</v>
      </c>
      <c r="F48" s="25" t="s">
        <v>3437</v>
      </c>
      <c r="G48" s="16" t="s">
        <v>3303</v>
      </c>
      <c r="H48" s="24"/>
    </row>
    <row r="49" spans="1:8">
      <c r="A49" s="21"/>
      <c r="B49" s="22"/>
      <c r="C49" s="16" t="s">
        <v>3329</v>
      </c>
      <c r="D49" s="31" t="s">
        <v>3438</v>
      </c>
      <c r="E49" s="17" t="s">
        <v>3439</v>
      </c>
      <c r="F49" s="25" t="s">
        <v>3440</v>
      </c>
      <c r="G49" s="16" t="s">
        <v>3320</v>
      </c>
      <c r="H49" s="24"/>
    </row>
    <row r="50" spans="1:8">
      <c r="A50" s="21" t="s">
        <v>97</v>
      </c>
      <c r="B50" s="22" t="s">
        <v>3298</v>
      </c>
      <c r="C50" s="16" t="s">
        <v>3299</v>
      </c>
      <c r="D50" s="16" t="s">
        <v>3441</v>
      </c>
      <c r="E50" s="17" t="s">
        <v>3442</v>
      </c>
      <c r="F50" s="25" t="s">
        <v>3443</v>
      </c>
      <c r="G50" s="16" t="s">
        <v>3320</v>
      </c>
      <c r="H50" s="24" t="s">
        <v>3444</v>
      </c>
    </row>
    <row r="51" spans="1:11">
      <c r="A51" s="21"/>
      <c r="B51" s="22"/>
      <c r="C51" s="16" t="s">
        <v>3305</v>
      </c>
      <c r="D51" s="16" t="s">
        <v>3445</v>
      </c>
      <c r="E51" s="17" t="s">
        <v>3446</v>
      </c>
      <c r="F51" s="25" t="s">
        <v>3447</v>
      </c>
      <c r="G51" s="16" t="s">
        <v>3320</v>
      </c>
      <c r="H51" s="24"/>
      <c r="K51" s="29"/>
    </row>
    <row r="52" spans="1:8">
      <c r="A52" s="21"/>
      <c r="B52" s="22"/>
      <c r="C52" s="16" t="s">
        <v>3309</v>
      </c>
      <c r="D52" s="16" t="s">
        <v>3448</v>
      </c>
      <c r="E52" s="17" t="s">
        <v>3449</v>
      </c>
      <c r="F52" s="25" t="s">
        <v>3450</v>
      </c>
      <c r="G52" s="16" t="s">
        <v>3320</v>
      </c>
      <c r="H52" s="24"/>
    </row>
    <row r="53" spans="1:8">
      <c r="A53" s="21"/>
      <c r="B53" s="22"/>
      <c r="C53" s="16" t="s">
        <v>3313</v>
      </c>
      <c r="D53" s="16" t="s">
        <v>3451</v>
      </c>
      <c r="E53" s="17" t="s">
        <v>3452</v>
      </c>
      <c r="F53" s="25" t="s">
        <v>3453</v>
      </c>
      <c r="G53" s="16" t="s">
        <v>3320</v>
      </c>
      <c r="H53" s="24"/>
    </row>
    <row r="54" spans="1:8">
      <c r="A54" s="21"/>
      <c r="B54" s="22"/>
      <c r="C54" s="16" t="s">
        <v>3317</v>
      </c>
      <c r="D54" s="16" t="s">
        <v>3454</v>
      </c>
      <c r="E54" s="17" t="s">
        <v>3455</v>
      </c>
      <c r="F54" s="25" t="s">
        <v>3456</v>
      </c>
      <c r="G54" s="16" t="s">
        <v>3320</v>
      </c>
      <c r="H54" s="24"/>
    </row>
    <row r="55" spans="1:8">
      <c r="A55" s="21"/>
      <c r="B55" s="22"/>
      <c r="C55" s="16" t="s">
        <v>3321</v>
      </c>
      <c r="D55" s="16" t="s">
        <v>3457</v>
      </c>
      <c r="E55" s="17" t="s">
        <v>3458</v>
      </c>
      <c r="F55" s="25" t="s">
        <v>3459</v>
      </c>
      <c r="G55" s="16" t="s">
        <v>3320</v>
      </c>
      <c r="H55" s="24"/>
    </row>
    <row r="56" spans="1:8">
      <c r="A56" s="21"/>
      <c r="B56" s="22"/>
      <c r="C56" s="16" t="s">
        <v>3325</v>
      </c>
      <c r="D56" s="16" t="s">
        <v>3460</v>
      </c>
      <c r="E56" s="17" t="s">
        <v>3461</v>
      </c>
      <c r="F56" s="25" t="s">
        <v>3462</v>
      </c>
      <c r="G56" s="16" t="s">
        <v>3320</v>
      </c>
      <c r="H56" s="24"/>
    </row>
    <row r="57" spans="1:8">
      <c r="A57" s="21"/>
      <c r="B57" s="22"/>
      <c r="C57" s="16" t="s">
        <v>3329</v>
      </c>
      <c r="E57" s="17" t="s">
        <v>3463</v>
      </c>
      <c r="F57" s="29"/>
      <c r="H57" s="24"/>
    </row>
    <row r="58" spans="1:8">
      <c r="A58" s="21"/>
      <c r="B58" s="22" t="s">
        <v>3333</v>
      </c>
      <c r="C58" s="16" t="s">
        <v>3299</v>
      </c>
      <c r="D58" s="16" t="s">
        <v>3464</v>
      </c>
      <c r="E58" s="17" t="s">
        <v>3465</v>
      </c>
      <c r="F58" s="25" t="s">
        <v>3466</v>
      </c>
      <c r="G58" s="16" t="s">
        <v>3320</v>
      </c>
      <c r="H58" s="24"/>
    </row>
    <row r="59" spans="1:8">
      <c r="A59" s="21"/>
      <c r="B59" s="22"/>
      <c r="C59" s="16" t="s">
        <v>3305</v>
      </c>
      <c r="D59" s="16" t="s">
        <v>3467</v>
      </c>
      <c r="E59" s="17" t="s">
        <v>3468</v>
      </c>
      <c r="F59" s="25" t="s">
        <v>3469</v>
      </c>
      <c r="G59" s="16" t="s">
        <v>3320</v>
      </c>
      <c r="H59" s="24"/>
    </row>
    <row r="60" spans="1:8">
      <c r="A60" s="21"/>
      <c r="B60" s="22"/>
      <c r="C60" s="16" t="s">
        <v>3309</v>
      </c>
      <c r="D60" s="16" t="s">
        <v>3470</v>
      </c>
      <c r="E60" s="17" t="s">
        <v>3471</v>
      </c>
      <c r="F60" s="25" t="s">
        <v>3472</v>
      </c>
      <c r="G60" s="16" t="s">
        <v>3320</v>
      </c>
      <c r="H60" s="24"/>
    </row>
    <row r="61" spans="1:8">
      <c r="A61" s="21"/>
      <c r="B61" s="22"/>
      <c r="C61" s="16" t="s">
        <v>3313</v>
      </c>
      <c r="D61" s="16" t="s">
        <v>3473</v>
      </c>
      <c r="E61" s="17" t="s">
        <v>3474</v>
      </c>
      <c r="F61" s="25" t="s">
        <v>3475</v>
      </c>
      <c r="G61" s="16" t="s">
        <v>3320</v>
      </c>
      <c r="H61" s="24"/>
    </row>
    <row r="62" spans="1:8">
      <c r="A62" s="21"/>
      <c r="B62" s="22"/>
      <c r="C62" s="16" t="s">
        <v>3317</v>
      </c>
      <c r="D62" s="16" t="s">
        <v>3476</v>
      </c>
      <c r="E62" s="17" t="s">
        <v>3477</v>
      </c>
      <c r="F62" s="25" t="s">
        <v>3478</v>
      </c>
      <c r="G62" s="16" t="s">
        <v>3320</v>
      </c>
      <c r="H62" s="24"/>
    </row>
    <row r="63" spans="1:8">
      <c r="A63" s="21"/>
      <c r="B63" s="22"/>
      <c r="C63" s="16" t="s">
        <v>3321</v>
      </c>
      <c r="D63" s="26" t="s">
        <v>3479</v>
      </c>
      <c r="E63" s="27" t="s">
        <v>3480</v>
      </c>
      <c r="F63" s="25" t="s">
        <v>3481</v>
      </c>
      <c r="G63" s="16" t="s">
        <v>3320</v>
      </c>
      <c r="H63" s="24"/>
    </row>
    <row r="64" spans="1:8">
      <c r="A64" s="21"/>
      <c r="B64" s="22"/>
      <c r="C64" s="16" t="s">
        <v>3325</v>
      </c>
      <c r="E64" s="17" t="s">
        <v>3482</v>
      </c>
      <c r="F64" s="25"/>
      <c r="H64" s="24"/>
    </row>
    <row r="65" spans="1:8">
      <c r="A65" s="21"/>
      <c r="B65" s="22"/>
      <c r="C65" s="16" t="s">
        <v>3329</v>
      </c>
      <c r="E65" s="17" t="s">
        <v>3483</v>
      </c>
      <c r="H65" s="24"/>
    </row>
    <row r="66" spans="1:11">
      <c r="A66" s="21" t="s">
        <v>99</v>
      </c>
      <c r="B66" s="22" t="s">
        <v>3298</v>
      </c>
      <c r="C66" s="16" t="s">
        <v>3299</v>
      </c>
      <c r="D66" s="16" t="s">
        <v>3484</v>
      </c>
      <c r="E66" s="17" t="s">
        <v>3485</v>
      </c>
      <c r="F66" s="25" t="s">
        <v>3486</v>
      </c>
      <c r="G66" s="16" t="s">
        <v>3303</v>
      </c>
      <c r="H66" s="35" t="s">
        <v>3487</v>
      </c>
      <c r="K66" s="29"/>
    </row>
    <row r="67" spans="1:11">
      <c r="A67" s="21"/>
      <c r="B67" s="22"/>
      <c r="C67" s="16" t="s">
        <v>3305</v>
      </c>
      <c r="D67" s="16" t="s">
        <v>3488</v>
      </c>
      <c r="E67" s="17" t="s">
        <v>3489</v>
      </c>
      <c r="F67" s="25" t="s">
        <v>3490</v>
      </c>
      <c r="G67" s="16" t="s">
        <v>3303</v>
      </c>
      <c r="H67" s="35"/>
      <c r="K67" s="29"/>
    </row>
    <row r="68" spans="1:11">
      <c r="A68" s="21"/>
      <c r="B68" s="22"/>
      <c r="C68" s="16" t="s">
        <v>3309</v>
      </c>
      <c r="D68" s="16" t="s">
        <v>3491</v>
      </c>
      <c r="E68" s="17" t="s">
        <v>3492</v>
      </c>
      <c r="F68" s="25" t="s">
        <v>3493</v>
      </c>
      <c r="G68" s="16" t="s">
        <v>3303</v>
      </c>
      <c r="H68" s="35"/>
      <c r="K68" s="29"/>
    </row>
    <row r="69" spans="1:11">
      <c r="A69" s="21"/>
      <c r="B69" s="22"/>
      <c r="C69" s="16" t="s">
        <v>3313</v>
      </c>
      <c r="D69" s="16" t="s">
        <v>3494</v>
      </c>
      <c r="E69" s="17" t="s">
        <v>3495</v>
      </c>
      <c r="F69" s="25" t="s">
        <v>3496</v>
      </c>
      <c r="G69" s="16" t="s">
        <v>3303</v>
      </c>
      <c r="H69" s="35"/>
      <c r="K69" s="29"/>
    </row>
    <row r="70" spans="1:8">
      <c r="A70" s="21"/>
      <c r="B70" s="22"/>
      <c r="C70" s="16" t="s">
        <v>3317</v>
      </c>
      <c r="D70" s="16" t="s">
        <v>3497</v>
      </c>
      <c r="E70" s="17" t="s">
        <v>3498</v>
      </c>
      <c r="F70" s="25" t="s">
        <v>3499</v>
      </c>
      <c r="G70" s="16" t="s">
        <v>3362</v>
      </c>
      <c r="H70" s="35"/>
    </row>
    <row r="71" spans="1:8">
      <c r="A71" s="21"/>
      <c r="B71" s="22"/>
      <c r="C71" s="16" t="s">
        <v>3321</v>
      </c>
      <c r="D71" s="16" t="s">
        <v>3500</v>
      </c>
      <c r="E71" s="17" t="s">
        <v>3501</v>
      </c>
      <c r="F71" s="25" t="s">
        <v>3502</v>
      </c>
      <c r="G71" s="16" t="s">
        <v>3362</v>
      </c>
      <c r="H71" s="35"/>
    </row>
    <row r="72" spans="1:8">
      <c r="A72" s="21"/>
      <c r="B72" s="22"/>
      <c r="C72" s="16" t="s">
        <v>3325</v>
      </c>
      <c r="D72" s="16" t="s">
        <v>3503</v>
      </c>
      <c r="E72" s="17" t="s">
        <v>3504</v>
      </c>
      <c r="F72" s="25" t="s">
        <v>3505</v>
      </c>
      <c r="G72" s="16" t="s">
        <v>3362</v>
      </c>
      <c r="H72" s="35"/>
    </row>
    <row r="73" spans="1:11">
      <c r="A73" s="21"/>
      <c r="B73" s="22"/>
      <c r="C73" s="16" t="s">
        <v>3329</v>
      </c>
      <c r="D73" s="16" t="s">
        <v>3506</v>
      </c>
      <c r="E73" s="17" t="s">
        <v>3507</v>
      </c>
      <c r="F73" s="25" t="s">
        <v>3508</v>
      </c>
      <c r="G73" s="16" t="s">
        <v>3303</v>
      </c>
      <c r="H73" s="35"/>
      <c r="K73" s="29"/>
    </row>
    <row r="74" spans="1:11">
      <c r="A74" s="21"/>
      <c r="B74" s="22" t="s">
        <v>3333</v>
      </c>
      <c r="C74" s="16" t="s">
        <v>3299</v>
      </c>
      <c r="D74" s="16" t="s">
        <v>3509</v>
      </c>
      <c r="E74" s="17" t="s">
        <v>3510</v>
      </c>
      <c r="F74" s="25" t="s">
        <v>3511</v>
      </c>
      <c r="G74" s="16" t="s">
        <v>3303</v>
      </c>
      <c r="H74" s="35"/>
      <c r="K74" s="29"/>
    </row>
    <row r="75" spans="1:11">
      <c r="A75" s="21"/>
      <c r="B75" s="22"/>
      <c r="C75" s="16" t="s">
        <v>3305</v>
      </c>
      <c r="D75" s="31" t="s">
        <v>3512</v>
      </c>
      <c r="E75" s="17" t="s">
        <v>3513</v>
      </c>
      <c r="F75" s="25" t="s">
        <v>3514</v>
      </c>
      <c r="G75" s="16" t="s">
        <v>3320</v>
      </c>
      <c r="H75" s="35"/>
      <c r="K75" s="29"/>
    </row>
    <row r="76" spans="1:11">
      <c r="A76" s="21"/>
      <c r="B76" s="22"/>
      <c r="C76" s="16" t="s">
        <v>3309</v>
      </c>
      <c r="D76" s="31" t="s">
        <v>3515</v>
      </c>
      <c r="E76" s="17" t="s">
        <v>3516</v>
      </c>
      <c r="F76" s="25" t="s">
        <v>3517</v>
      </c>
      <c r="G76" s="16" t="s">
        <v>3320</v>
      </c>
      <c r="H76" s="35"/>
      <c r="K76" s="29"/>
    </row>
    <row r="77" spans="1:11">
      <c r="A77" s="21"/>
      <c r="B77" s="22"/>
      <c r="C77" s="16" t="s">
        <v>3313</v>
      </c>
      <c r="E77" s="17" t="s">
        <v>3518</v>
      </c>
      <c r="F77" s="29"/>
      <c r="H77" s="35"/>
      <c r="K77" s="29"/>
    </row>
    <row r="78" spans="1:11">
      <c r="A78" s="21"/>
      <c r="B78" s="22"/>
      <c r="C78" s="16" t="s">
        <v>3317</v>
      </c>
      <c r="E78" s="17" t="s">
        <v>3519</v>
      </c>
      <c r="F78" s="29"/>
      <c r="H78" s="35"/>
      <c r="K78" s="29"/>
    </row>
    <row r="79" spans="1:11">
      <c r="A79" s="21"/>
      <c r="B79" s="22"/>
      <c r="C79" s="16" t="s">
        <v>3321</v>
      </c>
      <c r="E79" s="17" t="s">
        <v>3520</v>
      </c>
      <c r="F79" s="29"/>
      <c r="H79" s="35"/>
      <c r="K79" s="29"/>
    </row>
    <row r="80" spans="1:11">
      <c r="A80" s="21"/>
      <c r="B80" s="22"/>
      <c r="C80" s="16" t="s">
        <v>3325</v>
      </c>
      <c r="E80" s="17" t="s">
        <v>3521</v>
      </c>
      <c r="F80" s="29"/>
      <c r="H80" s="35"/>
      <c r="K80" s="29"/>
    </row>
    <row r="81" spans="1:11">
      <c r="A81" s="21"/>
      <c r="B81" s="22"/>
      <c r="C81" s="16" t="s">
        <v>3329</v>
      </c>
      <c r="E81" s="17" t="s">
        <v>3522</v>
      </c>
      <c r="H81" s="35"/>
      <c r="K81" s="29"/>
    </row>
    <row r="82" spans="1:8">
      <c r="A82" s="21" t="s">
        <v>101</v>
      </c>
      <c r="B82" s="22" t="s">
        <v>3298</v>
      </c>
      <c r="C82" s="16" t="s">
        <v>3299</v>
      </c>
      <c r="D82" s="16" t="s">
        <v>3523</v>
      </c>
      <c r="E82" s="17" t="s">
        <v>3524</v>
      </c>
      <c r="F82" s="25" t="s">
        <v>3525</v>
      </c>
      <c r="G82" s="16" t="s">
        <v>3362</v>
      </c>
      <c r="H82" s="24" t="s">
        <v>3526</v>
      </c>
    </row>
    <row r="83" spans="1:8">
      <c r="A83" s="21"/>
      <c r="B83" s="22"/>
      <c r="C83" s="16" t="s">
        <v>3305</v>
      </c>
      <c r="D83" s="16" t="s">
        <v>3527</v>
      </c>
      <c r="E83" s="17" t="s">
        <v>3528</v>
      </c>
      <c r="F83" s="25" t="s">
        <v>3529</v>
      </c>
      <c r="G83" s="16" t="s">
        <v>3303</v>
      </c>
      <c r="H83" s="24"/>
    </row>
    <row r="84" spans="1:11">
      <c r="A84" s="21"/>
      <c r="B84" s="22"/>
      <c r="C84" s="16" t="s">
        <v>3309</v>
      </c>
      <c r="D84" s="16" t="s">
        <v>3530</v>
      </c>
      <c r="E84" s="17" t="s">
        <v>3531</v>
      </c>
      <c r="F84" s="25" t="s">
        <v>3532</v>
      </c>
      <c r="G84" s="16" t="s">
        <v>3303</v>
      </c>
      <c r="H84" s="24"/>
      <c r="K84" s="29"/>
    </row>
    <row r="85" spans="1:11">
      <c r="A85" s="21"/>
      <c r="B85" s="22"/>
      <c r="C85" s="16" t="s">
        <v>3313</v>
      </c>
      <c r="D85" s="16" t="s">
        <v>3533</v>
      </c>
      <c r="E85" s="17" t="s">
        <v>3534</v>
      </c>
      <c r="F85" s="25" t="s">
        <v>3535</v>
      </c>
      <c r="G85" s="16" t="s">
        <v>3362</v>
      </c>
      <c r="H85" s="24"/>
      <c r="K85" s="34"/>
    </row>
    <row r="86" spans="1:11">
      <c r="A86" s="21"/>
      <c r="B86" s="22"/>
      <c r="C86" s="16" t="s">
        <v>3317</v>
      </c>
      <c r="D86" s="16" t="s">
        <v>3536</v>
      </c>
      <c r="E86" s="17" t="s">
        <v>3537</v>
      </c>
      <c r="F86" s="25" t="s">
        <v>3538</v>
      </c>
      <c r="G86" s="16" t="s">
        <v>3303</v>
      </c>
      <c r="H86" s="24"/>
      <c r="K86" s="29"/>
    </row>
    <row r="87" spans="1:8">
      <c r="A87" s="21"/>
      <c r="B87" s="22"/>
      <c r="C87" s="16" t="s">
        <v>3321</v>
      </c>
      <c r="D87" s="16" t="s">
        <v>3539</v>
      </c>
      <c r="E87" s="17" t="s">
        <v>3540</v>
      </c>
      <c r="F87" s="25" t="s">
        <v>3541</v>
      </c>
      <c r="G87" s="16" t="s">
        <v>3362</v>
      </c>
      <c r="H87" s="24"/>
    </row>
    <row r="88" spans="1:8">
      <c r="A88" s="21"/>
      <c r="B88" s="22"/>
      <c r="C88" s="16" t="s">
        <v>3325</v>
      </c>
      <c r="D88" s="16" t="s">
        <v>3542</v>
      </c>
      <c r="E88" s="17" t="s">
        <v>3543</v>
      </c>
      <c r="F88" s="25" t="s">
        <v>3544</v>
      </c>
      <c r="G88" s="16" t="s">
        <v>3362</v>
      </c>
      <c r="H88" s="24"/>
    </row>
    <row r="89" spans="1:8">
      <c r="A89" s="21"/>
      <c r="B89" s="22"/>
      <c r="C89" s="16" t="s">
        <v>3329</v>
      </c>
      <c r="D89" s="16" t="s">
        <v>3545</v>
      </c>
      <c r="E89" s="17" t="s">
        <v>3546</v>
      </c>
      <c r="F89" s="25" t="s">
        <v>3547</v>
      </c>
      <c r="G89" s="16" t="s">
        <v>3303</v>
      </c>
      <c r="H89" s="24"/>
    </row>
    <row r="90" spans="1:11">
      <c r="A90" s="21"/>
      <c r="B90" s="22" t="s">
        <v>3333</v>
      </c>
      <c r="C90" s="16" t="s">
        <v>3299</v>
      </c>
      <c r="D90" s="31" t="s">
        <v>3548</v>
      </c>
      <c r="E90" s="17" t="s">
        <v>3549</v>
      </c>
      <c r="F90" s="36" t="s">
        <v>3550</v>
      </c>
      <c r="G90" s="16" t="s">
        <v>3320</v>
      </c>
      <c r="H90" s="24"/>
      <c r="K90" s="29"/>
    </row>
    <row r="91" spans="1:8">
      <c r="A91" s="21"/>
      <c r="B91" s="22"/>
      <c r="C91" s="16" t="s">
        <v>3305</v>
      </c>
      <c r="D91" s="16" t="s">
        <v>3551</v>
      </c>
      <c r="E91" s="17" t="s">
        <v>3552</v>
      </c>
      <c r="F91" s="36" t="s">
        <v>3553</v>
      </c>
      <c r="G91" s="16" t="s">
        <v>3320</v>
      </c>
      <c r="H91" s="24"/>
    </row>
    <row r="92" spans="1:11">
      <c r="A92" s="21"/>
      <c r="B92" s="22"/>
      <c r="C92" s="16" t="s">
        <v>3309</v>
      </c>
      <c r="D92" s="26" t="s">
        <v>3554</v>
      </c>
      <c r="E92" s="27" t="s">
        <v>3555</v>
      </c>
      <c r="F92" s="36" t="s">
        <v>3556</v>
      </c>
      <c r="G92" s="16" t="s">
        <v>3303</v>
      </c>
      <c r="H92" s="24"/>
      <c r="K92" s="29"/>
    </row>
    <row r="93" spans="1:8">
      <c r="A93" s="21"/>
      <c r="B93" s="22"/>
      <c r="C93" s="16" t="s">
        <v>3313</v>
      </c>
      <c r="E93" s="17" t="s">
        <v>3557</v>
      </c>
      <c r="H93" s="24"/>
    </row>
    <row r="94" spans="1:8">
      <c r="A94" s="21"/>
      <c r="B94" s="22"/>
      <c r="C94" s="16" t="s">
        <v>3317</v>
      </c>
      <c r="E94" s="17" t="s">
        <v>3558</v>
      </c>
      <c r="H94" s="24"/>
    </row>
    <row r="95" spans="1:8">
      <c r="A95" s="21"/>
      <c r="B95" s="22"/>
      <c r="C95" s="16" t="s">
        <v>3321</v>
      </c>
      <c r="E95" s="17" t="s">
        <v>3559</v>
      </c>
      <c r="F95" s="34"/>
      <c r="H95" s="24"/>
    </row>
    <row r="96" spans="1:12">
      <c r="A96" s="21"/>
      <c r="B96" s="22"/>
      <c r="C96" s="16" t="s">
        <v>3325</v>
      </c>
      <c r="E96" s="17" t="s">
        <v>3560</v>
      </c>
      <c r="F96" s="34"/>
      <c r="H96" s="24"/>
      <c r="L96" s="29"/>
    </row>
    <row r="97" spans="1:8">
      <c r="A97" s="21"/>
      <c r="B97" s="22"/>
      <c r="C97" s="16" t="s">
        <v>3329</v>
      </c>
      <c r="E97" s="17" t="s">
        <v>3561</v>
      </c>
      <c r="F97" s="34"/>
      <c r="H97" s="24"/>
    </row>
    <row r="98" spans="1:8">
      <c r="A98" s="21" t="s">
        <v>103</v>
      </c>
      <c r="B98" s="22" t="s">
        <v>3298</v>
      </c>
      <c r="C98" s="16" t="s">
        <v>3299</v>
      </c>
      <c r="D98" s="16" t="s">
        <v>3562</v>
      </c>
      <c r="E98" s="17" t="s">
        <v>3563</v>
      </c>
      <c r="F98" s="25" t="s">
        <v>3564</v>
      </c>
      <c r="G98" s="16" t="s">
        <v>3362</v>
      </c>
      <c r="H98" s="24" t="s">
        <v>3565</v>
      </c>
    </row>
    <row r="99" spans="1:8">
      <c r="A99" s="21"/>
      <c r="B99" s="22"/>
      <c r="C99" s="16" t="s">
        <v>3305</v>
      </c>
      <c r="D99" s="16" t="s">
        <v>3566</v>
      </c>
      <c r="E99" s="17" t="s">
        <v>3567</v>
      </c>
      <c r="F99" s="25" t="s">
        <v>3568</v>
      </c>
      <c r="G99" s="16" t="s">
        <v>3303</v>
      </c>
      <c r="H99" s="24"/>
    </row>
    <row r="100" spans="1:12">
      <c r="A100" s="21"/>
      <c r="B100" s="22"/>
      <c r="C100" s="16" t="s">
        <v>3309</v>
      </c>
      <c r="D100" s="16" t="s">
        <v>3569</v>
      </c>
      <c r="E100" s="17" t="s">
        <v>3570</v>
      </c>
      <c r="F100" s="25" t="s">
        <v>3571</v>
      </c>
      <c r="G100" s="16" t="s">
        <v>3362</v>
      </c>
      <c r="H100" s="24"/>
      <c r="L100" s="29"/>
    </row>
    <row r="101" spans="1:8">
      <c r="A101" s="21"/>
      <c r="B101" s="22"/>
      <c r="C101" s="16" t="s">
        <v>3313</v>
      </c>
      <c r="D101" s="16" t="s">
        <v>3572</v>
      </c>
      <c r="E101" s="17" t="s">
        <v>3573</v>
      </c>
      <c r="F101" s="25" t="s">
        <v>3574</v>
      </c>
      <c r="G101" s="16" t="s">
        <v>3362</v>
      </c>
      <c r="H101" s="24"/>
    </row>
    <row r="102" spans="1:8">
      <c r="A102" s="21"/>
      <c r="B102" s="22"/>
      <c r="C102" s="16" t="s">
        <v>3317</v>
      </c>
      <c r="E102" s="17" t="s">
        <v>3575</v>
      </c>
      <c r="F102" s="29"/>
      <c r="H102" s="24"/>
    </row>
    <row r="103" spans="1:12">
      <c r="A103" s="21"/>
      <c r="B103" s="22"/>
      <c r="C103" s="16" t="s">
        <v>3321</v>
      </c>
      <c r="D103" s="16" t="s">
        <v>3576</v>
      </c>
      <c r="E103" s="17" t="s">
        <v>3577</v>
      </c>
      <c r="F103" s="25" t="s">
        <v>3578</v>
      </c>
      <c r="G103" s="16" t="s">
        <v>3362</v>
      </c>
      <c r="H103" s="24"/>
      <c r="L103" s="29"/>
    </row>
    <row r="104" spans="1:12">
      <c r="A104" s="21"/>
      <c r="B104" s="22"/>
      <c r="C104" s="16" t="s">
        <v>3325</v>
      </c>
      <c r="D104" s="16" t="s">
        <v>3579</v>
      </c>
      <c r="E104" s="17" t="s">
        <v>3580</v>
      </c>
      <c r="F104" s="25" t="s">
        <v>3581</v>
      </c>
      <c r="G104" s="16" t="s">
        <v>3303</v>
      </c>
      <c r="H104" s="24"/>
      <c r="L104" s="29"/>
    </row>
    <row r="105" spans="1:12">
      <c r="A105" s="21"/>
      <c r="B105" s="22"/>
      <c r="C105" s="16" t="s">
        <v>3329</v>
      </c>
      <c r="E105" s="17" t="s">
        <v>3582</v>
      </c>
      <c r="F105" s="29"/>
      <c r="H105" s="24"/>
      <c r="L105" s="29"/>
    </row>
    <row r="106" spans="1:12">
      <c r="A106" s="21"/>
      <c r="B106" s="22" t="s">
        <v>3333</v>
      </c>
      <c r="C106" s="16" t="s">
        <v>3299</v>
      </c>
      <c r="D106" s="16" t="s">
        <v>3583</v>
      </c>
      <c r="E106" s="17" t="s">
        <v>3584</v>
      </c>
      <c r="F106" s="36" t="s">
        <v>3585</v>
      </c>
      <c r="G106" s="16" t="s">
        <v>3320</v>
      </c>
      <c r="H106" s="37" t="s">
        <v>3586</v>
      </c>
      <c r="L106" s="29"/>
    </row>
    <row r="107" spans="1:12">
      <c r="A107" s="21"/>
      <c r="B107" s="22"/>
      <c r="C107" s="26" t="s">
        <v>3305</v>
      </c>
      <c r="D107" s="26" t="s">
        <v>3587</v>
      </c>
      <c r="E107" s="27" t="s">
        <v>3588</v>
      </c>
      <c r="F107" s="38" t="s">
        <v>3589</v>
      </c>
      <c r="H107" s="39"/>
      <c r="L107" s="29"/>
    </row>
    <row r="108" spans="1:8">
      <c r="A108" s="21"/>
      <c r="B108" s="22"/>
      <c r="C108" s="16" t="s">
        <v>3309</v>
      </c>
      <c r="E108" s="17" t="s">
        <v>3590</v>
      </c>
      <c r="F108" s="34"/>
      <c r="H108" s="39"/>
    </row>
    <row r="109" spans="1:8">
      <c r="A109" s="21"/>
      <c r="B109" s="22"/>
      <c r="C109" s="16" t="s">
        <v>3313</v>
      </c>
      <c r="E109" s="17" t="s">
        <v>3591</v>
      </c>
      <c r="H109" s="39"/>
    </row>
    <row r="110" spans="1:8">
      <c r="A110" s="21"/>
      <c r="B110" s="22"/>
      <c r="C110" s="16" t="s">
        <v>3317</v>
      </c>
      <c r="E110" s="17" t="s">
        <v>3592</v>
      </c>
      <c r="H110" s="39"/>
    </row>
    <row r="111" spans="1:8">
      <c r="A111" s="21"/>
      <c r="B111" s="22"/>
      <c r="C111" s="16" t="s">
        <v>3321</v>
      </c>
      <c r="D111" s="16" t="s">
        <v>3593</v>
      </c>
      <c r="E111" s="17" t="s">
        <v>3594</v>
      </c>
      <c r="F111" s="38" t="s">
        <v>3595</v>
      </c>
      <c r="G111" s="16" t="s">
        <v>3303</v>
      </c>
      <c r="H111" s="39"/>
    </row>
    <row r="112" spans="1:8">
      <c r="A112" s="21"/>
      <c r="B112" s="22"/>
      <c r="C112" s="16" t="s">
        <v>3325</v>
      </c>
      <c r="D112" s="16" t="s">
        <v>3596</v>
      </c>
      <c r="E112" s="17" t="s">
        <v>3597</v>
      </c>
      <c r="F112" s="38" t="s">
        <v>3598</v>
      </c>
      <c r="G112" s="16" t="s">
        <v>3303</v>
      </c>
      <c r="H112" s="39"/>
    </row>
    <row r="113" spans="1:8">
      <c r="A113" s="21"/>
      <c r="B113" s="22"/>
      <c r="C113" s="16" t="s">
        <v>3329</v>
      </c>
      <c r="D113" s="16" t="s">
        <v>3599</v>
      </c>
      <c r="E113" s="17" t="s">
        <v>3600</v>
      </c>
      <c r="F113" s="38" t="s">
        <v>3601</v>
      </c>
      <c r="G113" s="16" t="s">
        <v>3303</v>
      </c>
      <c r="H113" s="40"/>
    </row>
    <row r="114" spans="1:9">
      <c r="A114" s="21" t="s">
        <v>105</v>
      </c>
      <c r="B114" s="22" t="s">
        <v>3298</v>
      </c>
      <c r="C114" s="16" t="s">
        <v>3299</v>
      </c>
      <c r="D114" s="16" t="s">
        <v>3602</v>
      </c>
      <c r="E114" s="17" t="s">
        <v>3603</v>
      </c>
      <c r="F114" s="23" t="s">
        <v>3604</v>
      </c>
      <c r="G114" s="16" t="s">
        <v>3303</v>
      </c>
      <c r="H114" s="24" t="s">
        <v>3605</v>
      </c>
      <c r="I114" s="37" t="s">
        <v>3606</v>
      </c>
    </row>
    <row r="115" spans="1:9">
      <c r="A115" s="21"/>
      <c r="B115" s="22"/>
      <c r="C115" s="16" t="s">
        <v>3305</v>
      </c>
      <c r="D115" s="16" t="s">
        <v>3607</v>
      </c>
      <c r="E115" s="17" t="s">
        <v>3608</v>
      </c>
      <c r="F115" s="23" t="s">
        <v>3609</v>
      </c>
      <c r="G115" s="16" t="s">
        <v>3303</v>
      </c>
      <c r="H115" s="24"/>
      <c r="I115" s="39"/>
    </row>
    <row r="116" spans="1:9">
      <c r="A116" s="21"/>
      <c r="B116" s="22"/>
      <c r="C116" s="16" t="s">
        <v>3309</v>
      </c>
      <c r="D116" s="16" t="s">
        <v>3610</v>
      </c>
      <c r="E116" s="17" t="s">
        <v>3611</v>
      </c>
      <c r="F116" s="23" t="s">
        <v>3612</v>
      </c>
      <c r="G116" s="16" t="s">
        <v>3303</v>
      </c>
      <c r="H116" s="24"/>
      <c r="I116" s="39"/>
    </row>
    <row r="117" spans="1:9">
      <c r="A117" s="21"/>
      <c r="B117" s="22"/>
      <c r="C117" s="16" t="s">
        <v>3313</v>
      </c>
      <c r="D117" s="16" t="s">
        <v>3613</v>
      </c>
      <c r="E117" s="17" t="s">
        <v>3614</v>
      </c>
      <c r="F117" s="23" t="s">
        <v>3615</v>
      </c>
      <c r="G117" s="16" t="s">
        <v>3303</v>
      </c>
      <c r="H117" s="24"/>
      <c r="I117" s="39"/>
    </row>
    <row r="118" spans="1:9">
      <c r="A118" s="21"/>
      <c r="B118" s="22"/>
      <c r="C118" s="16" t="s">
        <v>3317</v>
      </c>
      <c r="D118" s="16" t="s">
        <v>3616</v>
      </c>
      <c r="E118" s="17" t="s">
        <v>3617</v>
      </c>
      <c r="F118" s="23" t="s">
        <v>3618</v>
      </c>
      <c r="G118" s="16" t="s">
        <v>3303</v>
      </c>
      <c r="H118" s="24"/>
      <c r="I118" s="39"/>
    </row>
    <row r="119" spans="1:9">
      <c r="A119" s="21"/>
      <c r="B119" s="22"/>
      <c r="C119" s="16" t="s">
        <v>3321</v>
      </c>
      <c r="E119" s="17" t="s">
        <v>3619</v>
      </c>
      <c r="G119" s="16" t="s">
        <v>3303</v>
      </c>
      <c r="H119" s="24"/>
      <c r="I119" s="39"/>
    </row>
    <row r="120" spans="1:9">
      <c r="A120" s="21"/>
      <c r="B120" s="22"/>
      <c r="C120" s="16" t="s">
        <v>3325</v>
      </c>
      <c r="E120" s="17" t="s">
        <v>3620</v>
      </c>
      <c r="H120" s="24"/>
      <c r="I120" s="39"/>
    </row>
    <row r="121" spans="1:9">
      <c r="A121" s="21"/>
      <c r="B121" s="22"/>
      <c r="C121" s="16" t="s">
        <v>3329</v>
      </c>
      <c r="E121" s="17" t="s">
        <v>3621</v>
      </c>
      <c r="H121" s="24"/>
      <c r="I121" s="39"/>
    </row>
    <row r="122" spans="1:9">
      <c r="A122" s="21"/>
      <c r="B122" s="22" t="s">
        <v>3333</v>
      </c>
      <c r="C122" s="16" t="s">
        <v>3299</v>
      </c>
      <c r="D122" s="26" t="s">
        <v>3622</v>
      </c>
      <c r="E122" s="27" t="s">
        <v>3623</v>
      </c>
      <c r="F122" s="23" t="s">
        <v>3624</v>
      </c>
      <c r="H122" s="24" t="s">
        <v>3625</v>
      </c>
      <c r="I122" s="39"/>
    </row>
    <row r="123" spans="1:9">
      <c r="A123" s="21"/>
      <c r="B123" s="22"/>
      <c r="C123" s="16" t="s">
        <v>3305</v>
      </c>
      <c r="D123" s="26" t="s">
        <v>3626</v>
      </c>
      <c r="E123" s="27" t="s">
        <v>3627</v>
      </c>
      <c r="F123" s="23" t="s">
        <v>3628</v>
      </c>
      <c r="H123" s="24"/>
      <c r="I123" s="39"/>
    </row>
    <row r="124" spans="1:9">
      <c r="A124" s="21"/>
      <c r="B124" s="22"/>
      <c r="C124" s="16" t="s">
        <v>3309</v>
      </c>
      <c r="E124" s="17" t="s">
        <v>3629</v>
      </c>
      <c r="H124" s="24"/>
      <c r="I124" s="39"/>
    </row>
    <row r="125" spans="1:9">
      <c r="A125" s="21"/>
      <c r="B125" s="22"/>
      <c r="C125" s="16" t="s">
        <v>3313</v>
      </c>
      <c r="D125" s="26" t="s">
        <v>3630</v>
      </c>
      <c r="E125" s="27" t="s">
        <v>3631</v>
      </c>
      <c r="F125" s="25" t="s">
        <v>3632</v>
      </c>
      <c r="H125" s="24"/>
      <c r="I125" s="39"/>
    </row>
    <row r="126" spans="1:9">
      <c r="A126" s="21"/>
      <c r="B126" s="22"/>
      <c r="C126" s="16" t="s">
        <v>3317</v>
      </c>
      <c r="D126" s="16" t="s">
        <v>3633</v>
      </c>
      <c r="E126" s="17" t="s">
        <v>3634</v>
      </c>
      <c r="F126" s="25" t="s">
        <v>3635</v>
      </c>
      <c r="H126" s="24"/>
      <c r="I126" s="39"/>
    </row>
    <row r="127" spans="1:9">
      <c r="A127" s="21"/>
      <c r="B127" s="22"/>
      <c r="C127" s="16" t="s">
        <v>3321</v>
      </c>
      <c r="E127" s="17" t="s">
        <v>3636</v>
      </c>
      <c r="F127" s="23" t="s">
        <v>3637</v>
      </c>
      <c r="H127" s="24"/>
      <c r="I127" s="39"/>
    </row>
    <row r="128" spans="1:9">
      <c r="A128" s="21"/>
      <c r="B128" s="22"/>
      <c r="C128" s="16" t="s">
        <v>3325</v>
      </c>
      <c r="E128" s="17" t="s">
        <v>3638</v>
      </c>
      <c r="H128" s="24"/>
      <c r="I128" s="39"/>
    </row>
    <row r="129" spans="1:9">
      <c r="A129" s="21"/>
      <c r="B129" s="22"/>
      <c r="C129" s="16" t="s">
        <v>3329</v>
      </c>
      <c r="E129" s="17" t="s">
        <v>3639</v>
      </c>
      <c r="H129" s="24"/>
      <c r="I129" s="40"/>
    </row>
    <row r="130" spans="1:8">
      <c r="A130" s="21" t="s">
        <v>107</v>
      </c>
      <c r="B130" s="22" t="s">
        <v>3298</v>
      </c>
      <c r="C130" s="16" t="s">
        <v>3299</v>
      </c>
      <c r="D130" s="16" t="s">
        <v>3640</v>
      </c>
      <c r="E130" s="17" t="s">
        <v>3641</v>
      </c>
      <c r="F130" s="25" t="s">
        <v>3642</v>
      </c>
      <c r="G130" s="16" t="s">
        <v>3303</v>
      </c>
      <c r="H130" s="24" t="s">
        <v>3643</v>
      </c>
    </row>
    <row r="131" spans="1:8">
      <c r="A131" s="21"/>
      <c r="B131" s="22"/>
      <c r="C131" s="16" t="s">
        <v>3305</v>
      </c>
      <c r="D131" s="16" t="s">
        <v>3644</v>
      </c>
      <c r="E131" s="17" t="s">
        <v>3645</v>
      </c>
      <c r="F131" s="25" t="s">
        <v>3646</v>
      </c>
      <c r="G131" s="16" t="s">
        <v>3303</v>
      </c>
      <c r="H131" s="24"/>
    </row>
    <row r="132" spans="1:8">
      <c r="A132" s="21"/>
      <c r="B132" s="22"/>
      <c r="C132" s="16" t="s">
        <v>3309</v>
      </c>
      <c r="D132" s="16" t="s">
        <v>3647</v>
      </c>
      <c r="E132" s="17" t="s">
        <v>3648</v>
      </c>
      <c r="F132" s="25" t="s">
        <v>3649</v>
      </c>
      <c r="G132" s="16" t="s">
        <v>3303</v>
      </c>
      <c r="H132" s="24"/>
    </row>
    <row r="133" spans="1:8">
      <c r="A133" s="21"/>
      <c r="B133" s="22"/>
      <c r="C133" s="16" t="s">
        <v>3313</v>
      </c>
      <c r="D133" s="16" t="s">
        <v>3650</v>
      </c>
      <c r="E133" s="17" t="s">
        <v>3651</v>
      </c>
      <c r="F133" s="25" t="s">
        <v>3652</v>
      </c>
      <c r="G133" s="16" t="s">
        <v>3362</v>
      </c>
      <c r="H133" s="24"/>
    </row>
    <row r="134" spans="1:8">
      <c r="A134" s="21"/>
      <c r="B134" s="22"/>
      <c r="C134" s="16" t="s">
        <v>3317</v>
      </c>
      <c r="D134" s="16" t="s">
        <v>3653</v>
      </c>
      <c r="E134" s="17" t="s">
        <v>3654</v>
      </c>
      <c r="F134" s="25" t="s">
        <v>3655</v>
      </c>
      <c r="G134" s="16" t="s">
        <v>3303</v>
      </c>
      <c r="H134" s="24"/>
    </row>
    <row r="135" spans="1:8">
      <c r="A135" s="21"/>
      <c r="B135" s="22"/>
      <c r="C135" s="16" t="s">
        <v>3321</v>
      </c>
      <c r="D135" s="16" t="s">
        <v>3656</v>
      </c>
      <c r="E135" s="17" t="s">
        <v>3657</v>
      </c>
      <c r="F135" s="25" t="s">
        <v>3658</v>
      </c>
      <c r="G135" s="16" t="s">
        <v>3303</v>
      </c>
      <c r="H135" s="24"/>
    </row>
    <row r="136" spans="1:8">
      <c r="A136" s="21"/>
      <c r="B136" s="22"/>
      <c r="C136" s="16" t="s">
        <v>3325</v>
      </c>
      <c r="D136" s="16" t="s">
        <v>3659</v>
      </c>
      <c r="E136" s="17" t="s">
        <v>3660</v>
      </c>
      <c r="F136" s="25" t="s">
        <v>3661</v>
      </c>
      <c r="G136" s="16" t="s">
        <v>3303</v>
      </c>
      <c r="H136" s="24"/>
    </row>
    <row r="137" spans="1:8">
      <c r="A137" s="21"/>
      <c r="B137" s="22"/>
      <c r="C137" s="16" t="s">
        <v>3329</v>
      </c>
      <c r="E137" s="17" t="s">
        <v>3662</v>
      </c>
      <c r="H137" s="24"/>
    </row>
    <row r="138" spans="1:8">
      <c r="A138" s="21"/>
      <c r="B138" s="22" t="s">
        <v>3333</v>
      </c>
      <c r="C138" s="16" t="s">
        <v>3299</v>
      </c>
      <c r="D138" s="26" t="s">
        <v>3663</v>
      </c>
      <c r="E138" s="17" t="s">
        <v>3664</v>
      </c>
      <c r="F138" s="25" t="s">
        <v>3665</v>
      </c>
      <c r="G138" s="16" t="s">
        <v>3362</v>
      </c>
      <c r="H138" s="24"/>
    </row>
    <row r="139" spans="1:8">
      <c r="A139" s="21"/>
      <c r="B139" s="22"/>
      <c r="C139" s="16" t="s">
        <v>3305</v>
      </c>
      <c r="D139" s="16" t="s">
        <v>3666</v>
      </c>
      <c r="E139" s="17" t="s">
        <v>3667</v>
      </c>
      <c r="F139" s="25" t="s">
        <v>3668</v>
      </c>
      <c r="G139" s="16" t="s">
        <v>3362</v>
      </c>
      <c r="H139" s="24"/>
    </row>
    <row r="140" spans="1:8">
      <c r="A140" s="21"/>
      <c r="B140" s="22"/>
      <c r="C140" s="16" t="s">
        <v>3309</v>
      </c>
      <c r="D140" s="16" t="s">
        <v>3669</v>
      </c>
      <c r="E140" s="17" t="s">
        <v>3670</v>
      </c>
      <c r="F140" s="25" t="s">
        <v>3671</v>
      </c>
      <c r="G140" s="16" t="s">
        <v>3362</v>
      </c>
      <c r="H140" s="24"/>
    </row>
    <row r="141" spans="1:8">
      <c r="A141" s="21"/>
      <c r="B141" s="22"/>
      <c r="C141" s="16" t="s">
        <v>3313</v>
      </c>
      <c r="D141" s="16" t="s">
        <v>3672</v>
      </c>
      <c r="E141" s="17" t="s">
        <v>3673</v>
      </c>
      <c r="F141" s="25" t="s">
        <v>3674</v>
      </c>
      <c r="G141" s="16" t="s">
        <v>3303</v>
      </c>
      <c r="H141" s="24"/>
    </row>
    <row r="142" spans="1:8">
      <c r="A142" s="21"/>
      <c r="B142" s="22"/>
      <c r="C142" s="16" t="s">
        <v>3317</v>
      </c>
      <c r="D142" s="16" t="s">
        <v>3675</v>
      </c>
      <c r="E142" s="17" t="s">
        <v>3676</v>
      </c>
      <c r="F142" s="25" t="s">
        <v>3677</v>
      </c>
      <c r="G142" s="16" t="s">
        <v>3303</v>
      </c>
      <c r="H142" s="24"/>
    </row>
    <row r="143" spans="1:8">
      <c r="A143" s="21"/>
      <c r="B143" s="22"/>
      <c r="C143" s="16" t="s">
        <v>3321</v>
      </c>
      <c r="D143" s="31" t="s">
        <v>3678</v>
      </c>
      <c r="E143" s="17" t="s">
        <v>3679</v>
      </c>
      <c r="F143" s="25" t="s">
        <v>3680</v>
      </c>
      <c r="G143" s="16" t="s">
        <v>3362</v>
      </c>
      <c r="H143" s="24"/>
    </row>
    <row r="144" spans="1:8">
      <c r="A144" s="21"/>
      <c r="B144" s="22"/>
      <c r="C144" s="16" t="s">
        <v>3325</v>
      </c>
      <c r="D144" s="31" t="s">
        <v>3681</v>
      </c>
      <c r="E144" s="17" t="s">
        <v>3682</v>
      </c>
      <c r="F144" s="25" t="s">
        <v>3683</v>
      </c>
      <c r="G144" s="16" t="s">
        <v>3303</v>
      </c>
      <c r="H144" s="24"/>
    </row>
    <row r="145" spans="1:8">
      <c r="A145" s="21"/>
      <c r="B145" s="22"/>
      <c r="C145" s="16" t="s">
        <v>3329</v>
      </c>
      <c r="E145" s="17" t="s">
        <v>3684</v>
      </c>
      <c r="H145" s="24"/>
    </row>
    <row r="146" spans="1:8">
      <c r="A146" s="21" t="s">
        <v>109</v>
      </c>
      <c r="B146" s="22" t="s">
        <v>3298</v>
      </c>
      <c r="C146" s="16" t="s">
        <v>3299</v>
      </c>
      <c r="D146" s="16" t="s">
        <v>3685</v>
      </c>
      <c r="E146" s="17" t="s">
        <v>3686</v>
      </c>
      <c r="F146" s="25" t="s">
        <v>3687</v>
      </c>
      <c r="G146" s="16" t="s">
        <v>3688</v>
      </c>
      <c r="H146" s="35" t="s">
        <v>3689</v>
      </c>
    </row>
    <row r="147" spans="1:8">
      <c r="A147" s="21"/>
      <c r="B147" s="22"/>
      <c r="C147" s="16" t="s">
        <v>3305</v>
      </c>
      <c r="D147" s="16" t="s">
        <v>3690</v>
      </c>
      <c r="E147" s="17" t="s">
        <v>3691</v>
      </c>
      <c r="F147" s="25" t="s">
        <v>3692</v>
      </c>
      <c r="G147" s="16" t="s">
        <v>3688</v>
      </c>
      <c r="H147" s="35"/>
    </row>
    <row r="148" spans="1:8">
      <c r="A148" s="21"/>
      <c r="B148" s="22"/>
      <c r="C148" s="16" t="s">
        <v>3309</v>
      </c>
      <c r="D148" s="16" t="s">
        <v>3693</v>
      </c>
      <c r="E148" s="17" t="s">
        <v>3694</v>
      </c>
      <c r="F148" s="25" t="s">
        <v>3695</v>
      </c>
      <c r="G148" s="16" t="s">
        <v>3688</v>
      </c>
      <c r="H148" s="35"/>
    </row>
    <row r="149" spans="1:8">
      <c r="A149" s="21"/>
      <c r="B149" s="22"/>
      <c r="C149" s="16" t="s">
        <v>3313</v>
      </c>
      <c r="D149" s="16" t="s">
        <v>3696</v>
      </c>
      <c r="E149" s="17" t="s">
        <v>3697</v>
      </c>
      <c r="F149" s="25" t="s">
        <v>3698</v>
      </c>
      <c r="G149" s="16" t="s">
        <v>3688</v>
      </c>
      <c r="H149" s="35"/>
    </row>
    <row r="150" spans="1:8">
      <c r="A150" s="21"/>
      <c r="B150" s="22"/>
      <c r="C150" s="16" t="s">
        <v>3317</v>
      </c>
      <c r="D150" s="16" t="s">
        <v>3699</v>
      </c>
      <c r="E150" s="17" t="s">
        <v>3700</v>
      </c>
      <c r="F150" s="25" t="s">
        <v>3701</v>
      </c>
      <c r="G150" s="16" t="s">
        <v>3688</v>
      </c>
      <c r="H150" s="35"/>
    </row>
    <row r="151" spans="1:8">
      <c r="A151" s="21"/>
      <c r="B151" s="22"/>
      <c r="C151" s="16" t="s">
        <v>3321</v>
      </c>
      <c r="D151" s="26" t="s">
        <v>3702</v>
      </c>
      <c r="E151" s="17" t="s">
        <v>3703</v>
      </c>
      <c r="F151" s="25" t="s">
        <v>3704</v>
      </c>
      <c r="G151" s="16" t="s">
        <v>3688</v>
      </c>
      <c r="H151" s="35"/>
    </row>
    <row r="152" spans="1:8">
      <c r="A152" s="21"/>
      <c r="B152" s="22"/>
      <c r="C152" s="16" t="s">
        <v>3325</v>
      </c>
      <c r="E152" s="17" t="s">
        <v>3705</v>
      </c>
      <c r="F152" s="29"/>
      <c r="H152" s="35"/>
    </row>
    <row r="153" spans="1:8">
      <c r="A153" s="21"/>
      <c r="B153" s="22"/>
      <c r="C153" s="16" t="s">
        <v>3329</v>
      </c>
      <c r="D153" s="31" t="s">
        <v>3706</v>
      </c>
      <c r="E153" s="17" t="s">
        <v>3707</v>
      </c>
      <c r="F153" s="25" t="s">
        <v>3708</v>
      </c>
      <c r="G153" s="16" t="s">
        <v>3688</v>
      </c>
      <c r="H153" s="35"/>
    </row>
    <row r="154" spans="1:8">
      <c r="A154" s="21"/>
      <c r="B154" s="22" t="s">
        <v>3333</v>
      </c>
      <c r="C154" s="16" t="s">
        <v>3299</v>
      </c>
      <c r="D154" s="16" t="s">
        <v>3709</v>
      </c>
      <c r="E154" s="17" t="s">
        <v>3710</v>
      </c>
      <c r="F154" s="25" t="s">
        <v>3711</v>
      </c>
      <c r="G154" s="16" t="s">
        <v>3688</v>
      </c>
      <c r="H154" s="35"/>
    </row>
    <row r="155" spans="1:8">
      <c r="A155" s="21"/>
      <c r="B155" s="22"/>
      <c r="C155" s="16" t="s">
        <v>3305</v>
      </c>
      <c r="D155" s="16" t="s">
        <v>3712</v>
      </c>
      <c r="E155" s="17" t="s">
        <v>3713</v>
      </c>
      <c r="F155" s="25" t="s">
        <v>3714</v>
      </c>
      <c r="G155" s="16" t="s">
        <v>3688</v>
      </c>
      <c r="H155" s="35"/>
    </row>
    <row r="156" spans="1:8">
      <c r="A156" s="21"/>
      <c r="B156" s="22"/>
      <c r="C156" s="16" t="s">
        <v>3309</v>
      </c>
      <c r="D156" s="16" t="s">
        <v>3715</v>
      </c>
      <c r="E156" s="17" t="s">
        <v>3716</v>
      </c>
      <c r="F156" s="25" t="s">
        <v>3717</v>
      </c>
      <c r="G156" s="16" t="s">
        <v>3688</v>
      </c>
      <c r="H156" s="35"/>
    </row>
    <row r="157" spans="1:8">
      <c r="A157" s="21"/>
      <c r="B157" s="22"/>
      <c r="C157" s="16" t="s">
        <v>3313</v>
      </c>
      <c r="D157" s="16" t="s">
        <v>3718</v>
      </c>
      <c r="E157" s="17" t="s">
        <v>3719</v>
      </c>
      <c r="F157" s="25" t="s">
        <v>3720</v>
      </c>
      <c r="G157" s="16" t="s">
        <v>3688</v>
      </c>
      <c r="H157" s="35"/>
    </row>
    <row r="158" spans="1:8">
      <c r="A158" s="21"/>
      <c r="B158" s="22"/>
      <c r="C158" s="16" t="s">
        <v>3317</v>
      </c>
      <c r="D158" s="31" t="s">
        <v>3721</v>
      </c>
      <c r="E158" s="17" t="s">
        <v>3722</v>
      </c>
      <c r="F158" s="25" t="s">
        <v>3723</v>
      </c>
      <c r="G158" s="16" t="s">
        <v>3688</v>
      </c>
      <c r="H158" s="35"/>
    </row>
    <row r="159" spans="1:8">
      <c r="A159" s="21"/>
      <c r="B159" s="22"/>
      <c r="C159" s="16" t="s">
        <v>3321</v>
      </c>
      <c r="D159" s="31" t="s">
        <v>3724</v>
      </c>
      <c r="E159" s="17" t="s">
        <v>3725</v>
      </c>
      <c r="F159" s="23" t="s">
        <v>3726</v>
      </c>
      <c r="H159" s="35"/>
    </row>
    <row r="160" spans="1:8">
      <c r="A160" s="21"/>
      <c r="B160" s="22"/>
      <c r="C160" s="16" t="s">
        <v>3325</v>
      </c>
      <c r="D160" s="31" t="s">
        <v>3727</v>
      </c>
      <c r="E160" s="17" t="s">
        <v>3728</v>
      </c>
      <c r="F160" s="25" t="s">
        <v>3729</v>
      </c>
      <c r="H160" s="35"/>
    </row>
    <row r="161" spans="1:8">
      <c r="A161" s="21"/>
      <c r="B161" s="22"/>
      <c r="C161" s="16" t="s">
        <v>3329</v>
      </c>
      <c r="D161" s="31" t="s">
        <v>3730</v>
      </c>
      <c r="E161" s="17" t="s">
        <v>3731</v>
      </c>
      <c r="F161" s="25" t="s">
        <v>3732</v>
      </c>
      <c r="H161" s="35"/>
    </row>
    <row r="162" spans="1:8">
      <c r="A162" s="21" t="s">
        <v>111</v>
      </c>
      <c r="B162" s="22" t="s">
        <v>3298</v>
      </c>
      <c r="C162" s="16" t="s">
        <v>3299</v>
      </c>
      <c r="D162" s="26" t="s">
        <v>3733</v>
      </c>
      <c r="E162" s="27" t="s">
        <v>3734</v>
      </c>
      <c r="F162" s="23" t="s">
        <v>3735</v>
      </c>
      <c r="G162" s="16" t="s">
        <v>3688</v>
      </c>
      <c r="H162" s="37" t="s">
        <v>3736</v>
      </c>
    </row>
    <row r="163" spans="1:8">
      <c r="A163" s="21"/>
      <c r="B163" s="22"/>
      <c r="C163" s="16" t="s">
        <v>3305</v>
      </c>
      <c r="D163" s="26" t="s">
        <v>3737</v>
      </c>
      <c r="E163" s="27" t="s">
        <v>3738</v>
      </c>
      <c r="F163" s="23" t="s">
        <v>3739</v>
      </c>
      <c r="G163" s="16" t="s">
        <v>3688</v>
      </c>
      <c r="H163" s="39"/>
    </row>
    <row r="164" spans="1:8">
      <c r="A164" s="21"/>
      <c r="B164" s="22"/>
      <c r="C164" s="16" t="s">
        <v>3309</v>
      </c>
      <c r="D164" s="26" t="s">
        <v>3740</v>
      </c>
      <c r="E164" s="27" t="s">
        <v>3741</v>
      </c>
      <c r="F164" s="23" t="s">
        <v>3742</v>
      </c>
      <c r="G164" s="16" t="s">
        <v>3688</v>
      </c>
      <c r="H164" s="39"/>
    </row>
    <row r="165" spans="1:8">
      <c r="A165" s="21"/>
      <c r="B165" s="22"/>
      <c r="C165" s="16" t="s">
        <v>3313</v>
      </c>
      <c r="D165" s="26"/>
      <c r="E165" s="27" t="s">
        <v>3743</v>
      </c>
      <c r="F165" s="26"/>
      <c r="H165" s="39"/>
    </row>
    <row r="166" spans="1:8">
      <c r="A166" s="21"/>
      <c r="B166" s="22"/>
      <c r="C166" s="16" t="s">
        <v>3317</v>
      </c>
      <c r="D166" s="26" t="s">
        <v>3744</v>
      </c>
      <c r="E166" s="27" t="s">
        <v>3745</v>
      </c>
      <c r="F166" s="23" t="s">
        <v>3746</v>
      </c>
      <c r="G166" s="16" t="s">
        <v>3688</v>
      </c>
      <c r="H166" s="39"/>
    </row>
    <row r="167" spans="1:8">
      <c r="A167" s="21"/>
      <c r="B167" s="22"/>
      <c r="C167" s="16" t="s">
        <v>3321</v>
      </c>
      <c r="D167" s="26" t="s">
        <v>3747</v>
      </c>
      <c r="E167" s="27" t="s">
        <v>3748</v>
      </c>
      <c r="F167" s="23" t="s">
        <v>3749</v>
      </c>
      <c r="G167" s="16" t="s">
        <v>3688</v>
      </c>
      <c r="H167" s="39"/>
    </row>
    <row r="168" spans="1:8">
      <c r="A168" s="21"/>
      <c r="B168" s="22"/>
      <c r="C168" s="16" t="s">
        <v>3325</v>
      </c>
      <c r="D168" s="26" t="s">
        <v>3750</v>
      </c>
      <c r="E168" s="27" t="s">
        <v>3751</v>
      </c>
      <c r="F168" s="23" t="s">
        <v>3752</v>
      </c>
      <c r="G168" s="16" t="s">
        <v>3688</v>
      </c>
      <c r="H168" s="39"/>
    </row>
    <row r="169" spans="1:8">
      <c r="A169" s="21"/>
      <c r="B169" s="22"/>
      <c r="C169" s="16" t="s">
        <v>3329</v>
      </c>
      <c r="E169" s="17" t="s">
        <v>3753</v>
      </c>
      <c r="H169" s="40"/>
    </row>
    <row r="170" spans="1:8">
      <c r="A170" s="21"/>
      <c r="B170" s="22" t="s">
        <v>3333</v>
      </c>
      <c r="C170" s="16" t="s">
        <v>3299</v>
      </c>
      <c r="D170" s="16" t="s">
        <v>3754</v>
      </c>
      <c r="E170" s="17" t="s">
        <v>3755</v>
      </c>
      <c r="F170" s="25" t="s">
        <v>3756</v>
      </c>
      <c r="G170" s="16" t="s">
        <v>3688</v>
      </c>
      <c r="H170" s="35" t="s">
        <v>3757</v>
      </c>
    </row>
    <row r="171" spans="1:8">
      <c r="A171" s="21"/>
      <c r="B171" s="22"/>
      <c r="C171" s="16" t="s">
        <v>3305</v>
      </c>
      <c r="D171" s="16" t="s">
        <v>3758</v>
      </c>
      <c r="E171" s="17" t="s">
        <v>3759</v>
      </c>
      <c r="F171" s="25" t="s">
        <v>3760</v>
      </c>
      <c r="G171" s="16" t="s">
        <v>3688</v>
      </c>
      <c r="H171" s="35"/>
    </row>
    <row r="172" spans="1:8">
      <c r="A172" s="21"/>
      <c r="B172" s="22"/>
      <c r="C172" s="16" t="s">
        <v>3309</v>
      </c>
      <c r="D172" s="16" t="s">
        <v>3761</v>
      </c>
      <c r="E172" s="17" t="s">
        <v>3762</v>
      </c>
      <c r="F172" s="25" t="s">
        <v>3763</v>
      </c>
      <c r="G172" s="16" t="s">
        <v>3688</v>
      </c>
      <c r="H172" s="35"/>
    </row>
    <row r="173" spans="1:8">
      <c r="A173" s="21"/>
      <c r="B173" s="22"/>
      <c r="C173" s="16" t="s">
        <v>3313</v>
      </c>
      <c r="D173" s="16" t="s">
        <v>3764</v>
      </c>
      <c r="E173" s="17" t="s">
        <v>3765</v>
      </c>
      <c r="F173" s="25" t="s">
        <v>3766</v>
      </c>
      <c r="G173" s="16" t="s">
        <v>3688</v>
      </c>
      <c r="H173" s="35"/>
    </row>
    <row r="174" spans="1:8">
      <c r="A174" s="21"/>
      <c r="B174" s="22"/>
      <c r="C174" s="16" t="s">
        <v>3317</v>
      </c>
      <c r="D174" s="16" t="s">
        <v>3767</v>
      </c>
      <c r="E174" s="17" t="s">
        <v>3768</v>
      </c>
      <c r="F174" s="25" t="s">
        <v>3769</v>
      </c>
      <c r="G174" s="16" t="s">
        <v>3688</v>
      </c>
      <c r="H174" s="35"/>
    </row>
    <row r="175" spans="1:8">
      <c r="A175" s="21"/>
      <c r="B175" s="22"/>
      <c r="C175" s="16" t="s">
        <v>3321</v>
      </c>
      <c r="D175" s="16" t="s">
        <v>3770</v>
      </c>
      <c r="E175" s="17" t="s">
        <v>3771</v>
      </c>
      <c r="F175" s="25" t="s">
        <v>3772</v>
      </c>
      <c r="G175" s="16" t="s">
        <v>3688</v>
      </c>
      <c r="H175" s="35"/>
    </row>
    <row r="176" spans="1:8">
      <c r="A176" s="21"/>
      <c r="B176" s="22"/>
      <c r="C176" s="16" t="s">
        <v>3325</v>
      </c>
      <c r="D176" s="16" t="s">
        <v>3773</v>
      </c>
      <c r="E176" s="17" t="s">
        <v>3774</v>
      </c>
      <c r="F176" s="25" t="s">
        <v>3775</v>
      </c>
      <c r="G176" s="16" t="s">
        <v>3688</v>
      </c>
      <c r="H176" s="35"/>
    </row>
    <row r="177" spans="1:8">
      <c r="A177" s="21"/>
      <c r="B177" s="22"/>
      <c r="C177" s="16" t="s">
        <v>3329</v>
      </c>
      <c r="D177" s="31" t="s">
        <v>3776</v>
      </c>
      <c r="E177" s="17" t="s">
        <v>3777</v>
      </c>
      <c r="F177" s="25" t="s">
        <v>3778</v>
      </c>
      <c r="G177" s="31" t="s">
        <v>3779</v>
      </c>
      <c r="H177" s="35"/>
    </row>
    <row r="178" spans="1:8">
      <c r="A178" s="21" t="s">
        <v>113</v>
      </c>
      <c r="B178" s="22" t="s">
        <v>3298</v>
      </c>
      <c r="C178" s="16" t="s">
        <v>3299</v>
      </c>
      <c r="D178" s="16" t="s">
        <v>3780</v>
      </c>
      <c r="E178" s="17" t="s">
        <v>3781</v>
      </c>
      <c r="F178" s="25" t="s">
        <v>3782</v>
      </c>
      <c r="G178" s="16" t="s">
        <v>3783</v>
      </c>
      <c r="H178" s="24" t="s">
        <v>3783</v>
      </c>
    </row>
    <row r="179" spans="1:8">
      <c r="A179" s="21"/>
      <c r="B179" s="22"/>
      <c r="C179" s="16" t="s">
        <v>3305</v>
      </c>
      <c r="D179" s="16" t="s">
        <v>3784</v>
      </c>
      <c r="E179" s="17" t="s">
        <v>3785</v>
      </c>
      <c r="F179" s="25" t="s">
        <v>3786</v>
      </c>
      <c r="G179" s="16" t="s">
        <v>3783</v>
      </c>
      <c r="H179" s="24"/>
    </row>
    <row r="180" spans="1:8">
      <c r="A180" s="21"/>
      <c r="B180" s="22"/>
      <c r="C180" s="16" t="s">
        <v>3309</v>
      </c>
      <c r="D180" s="16" t="s">
        <v>3787</v>
      </c>
      <c r="E180" s="17" t="s">
        <v>3788</v>
      </c>
      <c r="F180" s="25" t="s">
        <v>3789</v>
      </c>
      <c r="G180" s="16" t="s">
        <v>3783</v>
      </c>
      <c r="H180" s="24"/>
    </row>
    <row r="181" spans="1:8">
      <c r="A181" s="21"/>
      <c r="B181" s="22"/>
      <c r="C181" s="16" t="s">
        <v>3313</v>
      </c>
      <c r="D181" s="16" t="s">
        <v>3790</v>
      </c>
      <c r="E181" s="17" t="s">
        <v>3791</v>
      </c>
      <c r="F181" s="25" t="s">
        <v>3792</v>
      </c>
      <c r="G181" s="16" t="s">
        <v>3783</v>
      </c>
      <c r="H181" s="24"/>
    </row>
    <row r="182" spans="1:8">
      <c r="A182" s="21"/>
      <c r="B182" s="22"/>
      <c r="C182" s="16" t="s">
        <v>3317</v>
      </c>
      <c r="D182" s="16" t="s">
        <v>3793</v>
      </c>
      <c r="E182" s="17" t="s">
        <v>3794</v>
      </c>
      <c r="F182" s="25" t="s">
        <v>3795</v>
      </c>
      <c r="G182" s="16" t="s">
        <v>3783</v>
      </c>
      <c r="H182" s="24"/>
    </row>
    <row r="183" spans="1:8">
      <c r="A183" s="21"/>
      <c r="B183" s="22"/>
      <c r="C183" s="16" t="s">
        <v>3321</v>
      </c>
      <c r="D183" s="16" t="s">
        <v>3796</v>
      </c>
      <c r="E183" s="17" t="s">
        <v>3797</v>
      </c>
      <c r="F183" s="25" t="s">
        <v>3798</v>
      </c>
      <c r="G183" s="16" t="s">
        <v>3783</v>
      </c>
      <c r="H183" s="24"/>
    </row>
    <row r="184" spans="1:8">
      <c r="A184" s="21"/>
      <c r="B184" s="22"/>
      <c r="C184" s="16" t="s">
        <v>3325</v>
      </c>
      <c r="D184" s="16" t="s">
        <v>3799</v>
      </c>
      <c r="E184" s="17" t="s">
        <v>3800</v>
      </c>
      <c r="F184" s="25" t="s">
        <v>3801</v>
      </c>
      <c r="G184" s="16" t="s">
        <v>3688</v>
      </c>
      <c r="H184" s="24"/>
    </row>
    <row r="185" spans="1:8">
      <c r="A185" s="21"/>
      <c r="B185" s="22"/>
      <c r="C185" s="16" t="s">
        <v>3329</v>
      </c>
      <c r="D185" s="16" t="s">
        <v>3802</v>
      </c>
      <c r="E185" s="17" t="s">
        <v>3803</v>
      </c>
      <c r="F185" s="25" t="s">
        <v>3804</v>
      </c>
      <c r="G185" s="16" t="s">
        <v>3688</v>
      </c>
      <c r="H185" s="24"/>
    </row>
    <row r="186" spans="1:7">
      <c r="A186" s="21"/>
      <c r="B186" s="22" t="s">
        <v>3333</v>
      </c>
      <c r="C186" s="16" t="s">
        <v>3299</v>
      </c>
      <c r="D186" s="16" t="s">
        <v>3805</v>
      </c>
      <c r="E186" s="17" t="s">
        <v>3806</v>
      </c>
      <c r="F186" s="25" t="s">
        <v>3807</v>
      </c>
      <c r="G186" s="16" t="s">
        <v>3688</v>
      </c>
    </row>
    <row r="187" spans="1:5">
      <c r="A187" s="21"/>
      <c r="B187" s="22"/>
      <c r="C187" s="16" t="s">
        <v>3305</v>
      </c>
      <c r="E187" s="17" t="s">
        <v>3808</v>
      </c>
    </row>
    <row r="188" spans="1:5">
      <c r="A188" s="21"/>
      <c r="B188" s="22"/>
      <c r="C188" s="16" t="s">
        <v>3309</v>
      </c>
      <c r="E188" s="17" t="s">
        <v>3809</v>
      </c>
    </row>
    <row r="189" spans="1:5">
      <c r="A189" s="21"/>
      <c r="B189" s="22"/>
      <c r="C189" s="16" t="s">
        <v>3313</v>
      </c>
      <c r="E189" s="17" t="s">
        <v>3810</v>
      </c>
    </row>
    <row r="190" spans="1:7">
      <c r="A190" s="21"/>
      <c r="B190" s="22"/>
      <c r="C190" s="16" t="s">
        <v>3317</v>
      </c>
      <c r="D190" s="41" t="s">
        <v>3811</v>
      </c>
      <c r="E190" s="42" t="s">
        <v>3812</v>
      </c>
      <c r="F190" s="25" t="s">
        <v>3813</v>
      </c>
      <c r="G190" s="16" t="s">
        <v>3688</v>
      </c>
    </row>
    <row r="191" spans="1:7">
      <c r="A191" s="21"/>
      <c r="B191" s="22"/>
      <c r="C191" s="16" t="s">
        <v>3321</v>
      </c>
      <c r="D191" s="41" t="s">
        <v>3814</v>
      </c>
      <c r="E191" s="42" t="s">
        <v>3815</v>
      </c>
      <c r="F191" s="25" t="s">
        <v>3816</v>
      </c>
      <c r="G191" s="16" t="s">
        <v>3688</v>
      </c>
    </row>
    <row r="192" spans="1:7">
      <c r="A192" s="21"/>
      <c r="B192" s="22"/>
      <c r="C192" s="16" t="s">
        <v>3325</v>
      </c>
      <c r="D192" s="26" t="s">
        <v>3817</v>
      </c>
      <c r="E192" s="27" t="s">
        <v>3818</v>
      </c>
      <c r="F192" s="25" t="s">
        <v>3819</v>
      </c>
      <c r="G192" s="16" t="s">
        <v>3688</v>
      </c>
    </row>
    <row r="193" spans="1:6">
      <c r="A193" s="21"/>
      <c r="B193" s="22"/>
      <c r="C193" s="16" t="s">
        <v>3329</v>
      </c>
      <c r="D193" s="43" t="s">
        <v>3820</v>
      </c>
      <c r="E193" s="17" t="s">
        <v>3821</v>
      </c>
      <c r="F193" s="25" t="s">
        <v>3822</v>
      </c>
    </row>
    <row r="194" spans="1:8">
      <c r="A194" s="21" t="s">
        <v>115</v>
      </c>
      <c r="B194" s="22" t="s">
        <v>3298</v>
      </c>
      <c r="C194" s="16" t="s">
        <v>3299</v>
      </c>
      <c r="D194" s="44" t="s">
        <v>3823</v>
      </c>
      <c r="E194" s="27" t="s">
        <v>3824</v>
      </c>
      <c r="F194" s="25" t="s">
        <v>3825</v>
      </c>
      <c r="G194" s="16" t="s">
        <v>3826</v>
      </c>
      <c r="H194" s="30" t="s">
        <v>3826</v>
      </c>
    </row>
    <row r="195" spans="1:8">
      <c r="A195" s="21"/>
      <c r="B195" s="22"/>
      <c r="C195" s="16" t="s">
        <v>3305</v>
      </c>
      <c r="D195" s="44" t="s">
        <v>3827</v>
      </c>
      <c r="E195" s="27" t="s">
        <v>3828</v>
      </c>
      <c r="F195" s="25" t="s">
        <v>3829</v>
      </c>
      <c r="G195" s="16" t="s">
        <v>3826</v>
      </c>
      <c r="H195" s="32"/>
    </row>
    <row r="196" spans="1:8">
      <c r="A196" s="21"/>
      <c r="B196" s="22"/>
      <c r="C196" s="16" t="s">
        <v>3309</v>
      </c>
      <c r="D196" s="44" t="s">
        <v>3830</v>
      </c>
      <c r="E196" s="27" t="s">
        <v>3831</v>
      </c>
      <c r="F196" s="25" t="s">
        <v>3832</v>
      </c>
      <c r="G196" s="16" t="s">
        <v>3826</v>
      </c>
      <c r="H196" s="32"/>
    </row>
    <row r="197" spans="1:8">
      <c r="A197" s="21"/>
      <c r="B197" s="22"/>
      <c r="C197" s="16" t="s">
        <v>3313</v>
      </c>
      <c r="D197" s="44" t="s">
        <v>3833</v>
      </c>
      <c r="E197" s="27" t="s">
        <v>3834</v>
      </c>
      <c r="F197" s="25" t="s">
        <v>3835</v>
      </c>
      <c r="G197" s="16" t="s">
        <v>3826</v>
      </c>
      <c r="H197" s="32"/>
    </row>
    <row r="198" spans="1:8">
      <c r="A198" s="21"/>
      <c r="B198" s="22"/>
      <c r="C198" s="16" t="s">
        <v>3317</v>
      </c>
      <c r="D198" s="44" t="s">
        <v>3836</v>
      </c>
      <c r="E198" s="27" t="s">
        <v>3837</v>
      </c>
      <c r="F198" s="25" t="s">
        <v>3838</v>
      </c>
      <c r="G198" s="16" t="s">
        <v>3826</v>
      </c>
      <c r="H198" s="32"/>
    </row>
    <row r="199" spans="1:8">
      <c r="A199" s="21"/>
      <c r="B199" s="22"/>
      <c r="C199" s="16" t="s">
        <v>3321</v>
      </c>
      <c r="D199" s="44" t="s">
        <v>3839</v>
      </c>
      <c r="E199" s="27" t="s">
        <v>3840</v>
      </c>
      <c r="F199" s="25" t="s">
        <v>3841</v>
      </c>
      <c r="G199" s="16" t="s">
        <v>3826</v>
      </c>
      <c r="H199" s="32"/>
    </row>
    <row r="200" spans="1:8">
      <c r="A200" s="21"/>
      <c r="B200" s="22"/>
      <c r="C200" s="16" t="s">
        <v>3325</v>
      </c>
      <c r="D200" s="44" t="s">
        <v>3842</v>
      </c>
      <c r="E200" s="27" t="s">
        <v>3843</v>
      </c>
      <c r="F200" s="25" t="s">
        <v>3844</v>
      </c>
      <c r="G200" s="16" t="s">
        <v>3826</v>
      </c>
      <c r="H200" s="32"/>
    </row>
    <row r="201" spans="1:8">
      <c r="A201" s="21"/>
      <c r="B201" s="22"/>
      <c r="C201" s="16" t="s">
        <v>3329</v>
      </c>
      <c r="D201" s="44" t="s">
        <v>3845</v>
      </c>
      <c r="E201" s="27" t="s">
        <v>3846</v>
      </c>
      <c r="F201" s="25" t="s">
        <v>3847</v>
      </c>
      <c r="G201" s="16" t="s">
        <v>3826</v>
      </c>
      <c r="H201" s="32"/>
    </row>
    <row r="202" spans="1:8">
      <c r="A202" s="21"/>
      <c r="B202" s="22" t="s">
        <v>3333</v>
      </c>
      <c r="C202" s="16" t="s">
        <v>3299</v>
      </c>
      <c r="D202" s="44" t="s">
        <v>3848</v>
      </c>
      <c r="E202" s="27" t="s">
        <v>3849</v>
      </c>
      <c r="F202" s="25" t="s">
        <v>3850</v>
      </c>
      <c r="G202" s="16" t="s">
        <v>3826</v>
      </c>
      <c r="H202" s="32"/>
    </row>
    <row r="203" spans="1:8">
      <c r="A203" s="21"/>
      <c r="B203" s="22"/>
      <c r="C203" s="16" t="s">
        <v>3305</v>
      </c>
      <c r="D203" s="44" t="s">
        <v>3851</v>
      </c>
      <c r="E203" s="27" t="s">
        <v>3852</v>
      </c>
      <c r="F203" s="25" t="s">
        <v>3853</v>
      </c>
      <c r="G203" s="16" t="s">
        <v>3826</v>
      </c>
      <c r="H203" s="32"/>
    </row>
    <row r="204" spans="1:8">
      <c r="A204" s="21"/>
      <c r="B204" s="22"/>
      <c r="C204" s="16" t="s">
        <v>3309</v>
      </c>
      <c r="D204" s="44" t="s">
        <v>3854</v>
      </c>
      <c r="E204" s="27" t="s">
        <v>3855</v>
      </c>
      <c r="F204" s="25" t="s">
        <v>3856</v>
      </c>
      <c r="G204" s="16" t="s">
        <v>3826</v>
      </c>
      <c r="H204" s="32"/>
    </row>
    <row r="205" spans="1:8">
      <c r="A205" s="21"/>
      <c r="B205" s="22"/>
      <c r="C205" s="16" t="s">
        <v>3313</v>
      </c>
      <c r="D205" s="44" t="s">
        <v>3857</v>
      </c>
      <c r="E205" s="27" t="s">
        <v>3858</v>
      </c>
      <c r="F205" s="25" t="s">
        <v>3859</v>
      </c>
      <c r="G205" s="16" t="s">
        <v>3826</v>
      </c>
      <c r="H205" s="32"/>
    </row>
    <row r="206" spans="1:8">
      <c r="A206" s="21"/>
      <c r="B206" s="22"/>
      <c r="C206" s="16" t="s">
        <v>3317</v>
      </c>
      <c r="D206" s="44" t="s">
        <v>3860</v>
      </c>
      <c r="E206" s="27" t="s">
        <v>3861</v>
      </c>
      <c r="F206" s="25" t="s">
        <v>3862</v>
      </c>
      <c r="G206" s="16" t="s">
        <v>3826</v>
      </c>
      <c r="H206" s="32"/>
    </row>
    <row r="207" spans="1:8">
      <c r="A207" s="21"/>
      <c r="B207" s="22"/>
      <c r="C207" s="16" t="s">
        <v>3321</v>
      </c>
      <c r="D207" s="44" t="s">
        <v>3863</v>
      </c>
      <c r="E207" s="27" t="s">
        <v>3864</v>
      </c>
      <c r="F207" s="25" t="s">
        <v>3865</v>
      </c>
      <c r="G207" s="16" t="s">
        <v>3826</v>
      </c>
      <c r="H207" s="32"/>
    </row>
    <row r="208" spans="1:8">
      <c r="A208" s="21"/>
      <c r="B208" s="22"/>
      <c r="C208" s="16" t="s">
        <v>3325</v>
      </c>
      <c r="D208" s="44" t="s">
        <v>3866</v>
      </c>
      <c r="E208" s="27" t="s">
        <v>3867</v>
      </c>
      <c r="F208" s="25" t="s">
        <v>3868</v>
      </c>
      <c r="G208" s="16" t="s">
        <v>3826</v>
      </c>
      <c r="H208" s="32"/>
    </row>
    <row r="209" spans="1:8">
      <c r="A209" s="21"/>
      <c r="B209" s="22"/>
      <c r="C209" s="16" t="s">
        <v>3329</v>
      </c>
      <c r="D209" s="44" t="s">
        <v>3869</v>
      </c>
      <c r="E209" s="27" t="s">
        <v>3870</v>
      </c>
      <c r="F209" s="25" t="s">
        <v>3871</v>
      </c>
      <c r="G209" s="16" t="s">
        <v>3826</v>
      </c>
      <c r="H209" s="32"/>
    </row>
    <row r="210" spans="1:8">
      <c r="A210" s="21" t="s">
        <v>117</v>
      </c>
      <c r="B210" s="22" t="s">
        <v>3298</v>
      </c>
      <c r="C210" s="16" t="s">
        <v>3299</v>
      </c>
      <c r="D210" s="44" t="s">
        <v>3872</v>
      </c>
      <c r="E210" s="27" t="s">
        <v>3873</v>
      </c>
      <c r="F210" s="25" t="s">
        <v>3874</v>
      </c>
      <c r="G210" s="16" t="s">
        <v>3826</v>
      </c>
      <c r="H210" s="32"/>
    </row>
    <row r="211" spans="1:8">
      <c r="A211" s="21"/>
      <c r="B211" s="22"/>
      <c r="C211" s="16" t="s">
        <v>3305</v>
      </c>
      <c r="D211" s="44" t="s">
        <v>3875</v>
      </c>
      <c r="E211" s="27" t="s">
        <v>3876</v>
      </c>
      <c r="F211" s="25" t="s">
        <v>3877</v>
      </c>
      <c r="G211" s="16" t="s">
        <v>3826</v>
      </c>
      <c r="H211" s="32"/>
    </row>
    <row r="212" spans="1:8">
      <c r="A212" s="21"/>
      <c r="B212" s="22"/>
      <c r="C212" s="16" t="s">
        <v>3309</v>
      </c>
      <c r="D212" s="44" t="s">
        <v>3878</v>
      </c>
      <c r="E212" s="27" t="s">
        <v>3879</v>
      </c>
      <c r="F212" s="25" t="s">
        <v>3880</v>
      </c>
      <c r="G212" s="16" t="s">
        <v>3826</v>
      </c>
      <c r="H212" s="32"/>
    </row>
    <row r="213" spans="1:8">
      <c r="A213" s="21"/>
      <c r="B213" s="22"/>
      <c r="C213" s="16" t="s">
        <v>3313</v>
      </c>
      <c r="D213" s="44" t="s">
        <v>3881</v>
      </c>
      <c r="E213" s="27" t="s">
        <v>3882</v>
      </c>
      <c r="F213" s="25" t="s">
        <v>3883</v>
      </c>
      <c r="G213" s="16" t="s">
        <v>3826</v>
      </c>
      <c r="H213" s="32"/>
    </row>
    <row r="214" spans="1:8">
      <c r="A214" s="21"/>
      <c r="B214" s="22"/>
      <c r="C214" s="16" t="s">
        <v>3317</v>
      </c>
      <c r="D214" s="44" t="s">
        <v>3884</v>
      </c>
      <c r="E214" s="27" t="s">
        <v>3885</v>
      </c>
      <c r="F214" s="25" t="s">
        <v>3886</v>
      </c>
      <c r="G214" s="16" t="s">
        <v>3826</v>
      </c>
      <c r="H214" s="32"/>
    </row>
    <row r="215" spans="1:8">
      <c r="A215" s="21"/>
      <c r="B215" s="22"/>
      <c r="C215" s="16" t="s">
        <v>3321</v>
      </c>
      <c r="D215" s="44" t="s">
        <v>3887</v>
      </c>
      <c r="E215" s="27" t="s">
        <v>3888</v>
      </c>
      <c r="F215" s="25" t="s">
        <v>3889</v>
      </c>
      <c r="G215" s="16" t="s">
        <v>3826</v>
      </c>
      <c r="H215" s="32"/>
    </row>
    <row r="216" spans="1:8">
      <c r="A216" s="21"/>
      <c r="B216" s="22"/>
      <c r="C216" s="16" t="s">
        <v>3325</v>
      </c>
      <c r="D216" s="44" t="s">
        <v>3890</v>
      </c>
      <c r="E216" s="27" t="s">
        <v>3891</v>
      </c>
      <c r="F216" s="25" t="s">
        <v>3892</v>
      </c>
      <c r="G216" s="16" t="s">
        <v>3826</v>
      </c>
      <c r="H216" s="32"/>
    </row>
    <row r="217" spans="1:8">
      <c r="A217" s="21"/>
      <c r="B217" s="22"/>
      <c r="C217" s="16" t="s">
        <v>3329</v>
      </c>
      <c r="D217" s="44" t="s">
        <v>3893</v>
      </c>
      <c r="E217" s="27" t="s">
        <v>3894</v>
      </c>
      <c r="F217" s="25" t="s">
        <v>3895</v>
      </c>
      <c r="G217" s="16" t="s">
        <v>3826</v>
      </c>
      <c r="H217" s="32"/>
    </row>
    <row r="218" spans="1:8">
      <c r="A218" s="21"/>
      <c r="B218" s="22" t="s">
        <v>3333</v>
      </c>
      <c r="C218" s="16" t="s">
        <v>3299</v>
      </c>
      <c r="D218" s="44" t="s">
        <v>3896</v>
      </c>
      <c r="E218" s="27" t="s">
        <v>3897</v>
      </c>
      <c r="F218" s="25" t="s">
        <v>3898</v>
      </c>
      <c r="G218" s="16" t="s">
        <v>3826</v>
      </c>
      <c r="H218" s="32"/>
    </row>
    <row r="219" spans="1:8">
      <c r="A219" s="21"/>
      <c r="B219" s="22"/>
      <c r="C219" s="16" t="s">
        <v>3305</v>
      </c>
      <c r="D219" s="44" t="s">
        <v>3899</v>
      </c>
      <c r="E219" s="27" t="s">
        <v>3900</v>
      </c>
      <c r="F219" s="25" t="s">
        <v>3901</v>
      </c>
      <c r="G219" s="16" t="s">
        <v>3826</v>
      </c>
      <c r="H219" s="32"/>
    </row>
    <row r="220" spans="1:8">
      <c r="A220" s="21"/>
      <c r="B220" s="22"/>
      <c r="C220" s="16" t="s">
        <v>3309</v>
      </c>
      <c r="D220" s="44" t="s">
        <v>3902</v>
      </c>
      <c r="E220" s="27" t="s">
        <v>3903</v>
      </c>
      <c r="F220" s="25" t="s">
        <v>3904</v>
      </c>
      <c r="G220" s="16" t="s">
        <v>3826</v>
      </c>
      <c r="H220" s="32"/>
    </row>
    <row r="221" spans="1:8">
      <c r="A221" s="21"/>
      <c r="B221" s="22"/>
      <c r="C221" s="16" t="s">
        <v>3313</v>
      </c>
      <c r="D221" s="44" t="s">
        <v>3905</v>
      </c>
      <c r="E221" s="27" t="s">
        <v>3906</v>
      </c>
      <c r="F221" s="25" t="s">
        <v>3907</v>
      </c>
      <c r="G221" s="16" t="s">
        <v>3826</v>
      </c>
      <c r="H221" s="32"/>
    </row>
    <row r="222" spans="1:8">
      <c r="A222" s="21"/>
      <c r="B222" s="22"/>
      <c r="C222" s="16" t="s">
        <v>3317</v>
      </c>
      <c r="D222" s="44" t="s">
        <v>3908</v>
      </c>
      <c r="E222" s="27" t="s">
        <v>3909</v>
      </c>
      <c r="F222" s="25" t="s">
        <v>3910</v>
      </c>
      <c r="G222" s="16" t="s">
        <v>3826</v>
      </c>
      <c r="H222" s="32"/>
    </row>
    <row r="223" spans="1:8">
      <c r="A223" s="21"/>
      <c r="B223" s="22"/>
      <c r="C223" s="16" t="s">
        <v>3321</v>
      </c>
      <c r="D223" s="44" t="s">
        <v>3911</v>
      </c>
      <c r="E223" s="27" t="s">
        <v>3912</v>
      </c>
      <c r="F223" s="25" t="s">
        <v>3913</v>
      </c>
      <c r="G223" s="16" t="s">
        <v>3826</v>
      </c>
      <c r="H223" s="32"/>
    </row>
    <row r="224" spans="1:8">
      <c r="A224" s="21"/>
      <c r="B224" s="22"/>
      <c r="C224" s="16" t="s">
        <v>3325</v>
      </c>
      <c r="D224" s="44" t="s">
        <v>3914</v>
      </c>
      <c r="E224" s="27" t="s">
        <v>3915</v>
      </c>
      <c r="F224" s="25" t="s">
        <v>3916</v>
      </c>
      <c r="G224" s="16" t="s">
        <v>3826</v>
      </c>
      <c r="H224" s="32"/>
    </row>
    <row r="225" spans="1:8">
      <c r="A225" s="21"/>
      <c r="B225" s="22"/>
      <c r="C225" s="16" t="s">
        <v>3329</v>
      </c>
      <c r="D225" s="44" t="s">
        <v>3917</v>
      </c>
      <c r="E225" s="27" t="s">
        <v>3918</v>
      </c>
      <c r="F225" s="25" t="s">
        <v>3919</v>
      </c>
      <c r="G225" s="16" t="s">
        <v>3826</v>
      </c>
      <c r="H225" s="32"/>
    </row>
    <row r="226" spans="1:8">
      <c r="A226" s="21" t="s">
        <v>119</v>
      </c>
      <c r="B226" s="22" t="s">
        <v>3298</v>
      </c>
      <c r="C226" s="16" t="s">
        <v>3299</v>
      </c>
      <c r="D226" s="44" t="s">
        <v>3920</v>
      </c>
      <c r="E226" s="27" t="s">
        <v>3921</v>
      </c>
      <c r="F226" s="25" t="s">
        <v>3922</v>
      </c>
      <c r="G226" s="16" t="s">
        <v>3826</v>
      </c>
      <c r="H226" s="32"/>
    </row>
    <row r="227" spans="1:8">
      <c r="A227" s="21"/>
      <c r="B227" s="22"/>
      <c r="C227" s="16" t="s">
        <v>3305</v>
      </c>
      <c r="D227" s="44" t="s">
        <v>3923</v>
      </c>
      <c r="E227" s="27" t="s">
        <v>3924</v>
      </c>
      <c r="F227" s="25" t="s">
        <v>3925</v>
      </c>
      <c r="G227" s="16" t="s">
        <v>3826</v>
      </c>
      <c r="H227" s="32"/>
    </row>
    <row r="228" spans="1:8">
      <c r="A228" s="21"/>
      <c r="B228" s="22"/>
      <c r="C228" s="16" t="s">
        <v>3309</v>
      </c>
      <c r="D228" s="44" t="s">
        <v>3926</v>
      </c>
      <c r="E228" s="27" t="s">
        <v>3927</v>
      </c>
      <c r="F228" s="25" t="s">
        <v>3928</v>
      </c>
      <c r="G228" s="16" t="s">
        <v>3826</v>
      </c>
      <c r="H228" s="32"/>
    </row>
    <row r="229" spans="1:8">
      <c r="A229" s="21"/>
      <c r="B229" s="22"/>
      <c r="C229" s="16" t="s">
        <v>3313</v>
      </c>
      <c r="D229" s="44" t="s">
        <v>3929</v>
      </c>
      <c r="E229" s="27" t="s">
        <v>3930</v>
      </c>
      <c r="F229" s="25" t="s">
        <v>3931</v>
      </c>
      <c r="G229" s="16" t="s">
        <v>3826</v>
      </c>
      <c r="H229" s="32"/>
    </row>
    <row r="230" spans="1:8">
      <c r="A230" s="21"/>
      <c r="B230" s="22"/>
      <c r="C230" s="16" t="s">
        <v>3317</v>
      </c>
      <c r="D230" s="44" t="s">
        <v>3932</v>
      </c>
      <c r="E230" s="27" t="s">
        <v>3933</v>
      </c>
      <c r="F230" s="25" t="s">
        <v>3934</v>
      </c>
      <c r="G230" s="16" t="s">
        <v>3826</v>
      </c>
      <c r="H230" s="32"/>
    </row>
    <row r="231" spans="1:8">
      <c r="A231" s="21"/>
      <c r="B231" s="22"/>
      <c r="C231" s="16" t="s">
        <v>3321</v>
      </c>
      <c r="D231" s="44" t="s">
        <v>3935</v>
      </c>
      <c r="E231" s="27" t="s">
        <v>3936</v>
      </c>
      <c r="F231" s="25" t="s">
        <v>3937</v>
      </c>
      <c r="G231" s="16" t="s">
        <v>3826</v>
      </c>
      <c r="H231" s="32"/>
    </row>
    <row r="232" spans="1:8">
      <c r="A232" s="21"/>
      <c r="B232" s="22"/>
      <c r="C232" s="16" t="s">
        <v>3325</v>
      </c>
      <c r="D232" s="44" t="s">
        <v>3938</v>
      </c>
      <c r="E232" s="27" t="s">
        <v>3939</v>
      </c>
      <c r="F232" s="25" t="s">
        <v>3940</v>
      </c>
      <c r="G232" s="16" t="s">
        <v>3826</v>
      </c>
      <c r="H232" s="32"/>
    </row>
    <row r="233" spans="1:8">
      <c r="A233" s="21"/>
      <c r="B233" s="22"/>
      <c r="C233" s="16" t="s">
        <v>3329</v>
      </c>
      <c r="D233" s="44" t="s">
        <v>3941</v>
      </c>
      <c r="E233" s="27" t="s">
        <v>3942</v>
      </c>
      <c r="F233" s="25" t="s">
        <v>3943</v>
      </c>
      <c r="G233" s="16" t="s">
        <v>3826</v>
      </c>
      <c r="H233" s="32"/>
    </row>
    <row r="234" spans="1:8">
      <c r="A234" s="21"/>
      <c r="B234" s="22" t="s">
        <v>3333</v>
      </c>
      <c r="C234" s="16" t="s">
        <v>3299</v>
      </c>
      <c r="D234" s="44" t="s">
        <v>3944</v>
      </c>
      <c r="E234" s="27" t="s">
        <v>3945</v>
      </c>
      <c r="F234" s="25" t="s">
        <v>3946</v>
      </c>
      <c r="G234" s="16" t="s">
        <v>3826</v>
      </c>
      <c r="H234" s="32"/>
    </row>
    <row r="235" spans="1:8">
      <c r="A235" s="21"/>
      <c r="B235" s="22"/>
      <c r="C235" s="16" t="s">
        <v>3305</v>
      </c>
      <c r="D235" s="44" t="s">
        <v>3947</v>
      </c>
      <c r="E235" s="27" t="s">
        <v>3948</v>
      </c>
      <c r="F235" s="25" t="s">
        <v>3949</v>
      </c>
      <c r="G235" s="16" t="s">
        <v>3826</v>
      </c>
      <c r="H235" s="32"/>
    </row>
    <row r="236" spans="1:8">
      <c r="A236" s="21"/>
      <c r="B236" s="22"/>
      <c r="C236" s="16" t="s">
        <v>3309</v>
      </c>
      <c r="D236" s="44" t="s">
        <v>3950</v>
      </c>
      <c r="E236" s="27" t="s">
        <v>3951</v>
      </c>
      <c r="F236" s="25" t="s">
        <v>3952</v>
      </c>
      <c r="G236" s="16" t="s">
        <v>3826</v>
      </c>
      <c r="H236" s="32"/>
    </row>
    <row r="237" spans="1:8">
      <c r="A237" s="21"/>
      <c r="B237" s="22"/>
      <c r="C237" s="16" t="s">
        <v>3313</v>
      </c>
      <c r="D237" s="44" t="s">
        <v>3953</v>
      </c>
      <c r="E237" s="27" t="s">
        <v>3954</v>
      </c>
      <c r="F237" s="25" t="s">
        <v>3955</v>
      </c>
      <c r="G237" s="16" t="s">
        <v>3826</v>
      </c>
      <c r="H237" s="32"/>
    </row>
    <row r="238" spans="1:8">
      <c r="A238" s="21"/>
      <c r="B238" s="22"/>
      <c r="C238" s="16" t="s">
        <v>3317</v>
      </c>
      <c r="D238" s="44" t="s">
        <v>3956</v>
      </c>
      <c r="E238" s="27" t="s">
        <v>3957</v>
      </c>
      <c r="F238" s="25" t="s">
        <v>3958</v>
      </c>
      <c r="G238" s="16" t="s">
        <v>3826</v>
      </c>
      <c r="H238" s="32"/>
    </row>
    <row r="239" spans="1:8">
      <c r="A239" s="21"/>
      <c r="B239" s="22"/>
      <c r="C239" s="16" t="s">
        <v>3321</v>
      </c>
      <c r="D239" s="44" t="s">
        <v>3959</v>
      </c>
      <c r="E239" s="27" t="s">
        <v>3960</v>
      </c>
      <c r="F239" s="25" t="s">
        <v>3961</v>
      </c>
      <c r="G239" s="16" t="s">
        <v>3826</v>
      </c>
      <c r="H239" s="32"/>
    </row>
    <row r="240" spans="1:8">
      <c r="A240" s="21"/>
      <c r="B240" s="22"/>
      <c r="C240" s="16" t="s">
        <v>3325</v>
      </c>
      <c r="D240" s="44" t="s">
        <v>3962</v>
      </c>
      <c r="E240" s="27" t="s">
        <v>3963</v>
      </c>
      <c r="F240" s="25" t="s">
        <v>3964</v>
      </c>
      <c r="G240" s="16" t="s">
        <v>3826</v>
      </c>
      <c r="H240" s="32"/>
    </row>
    <row r="241" spans="1:8">
      <c r="A241" s="21"/>
      <c r="B241" s="22"/>
      <c r="C241" s="16" t="s">
        <v>3329</v>
      </c>
      <c r="D241" s="44" t="s">
        <v>3965</v>
      </c>
      <c r="E241" s="27" t="s">
        <v>3966</v>
      </c>
      <c r="F241" s="25" t="s">
        <v>3967</v>
      </c>
      <c r="G241" s="16" t="s">
        <v>3826</v>
      </c>
      <c r="H241" s="33"/>
    </row>
    <row r="242" spans="1:8">
      <c r="A242" s="21" t="s">
        <v>121</v>
      </c>
      <c r="B242" s="22" t="s">
        <v>3298</v>
      </c>
      <c r="C242" s="16" t="s">
        <v>3299</v>
      </c>
      <c r="D242" s="16" t="s">
        <v>3968</v>
      </c>
      <c r="E242" s="17" t="s">
        <v>3969</v>
      </c>
      <c r="H242" s="30" t="s">
        <v>3970</v>
      </c>
    </row>
    <row r="243" spans="1:8">
      <c r="A243" s="21"/>
      <c r="B243" s="22"/>
      <c r="C243" s="16" t="s">
        <v>3305</v>
      </c>
      <c r="D243" s="16" t="s">
        <v>3971</v>
      </c>
      <c r="E243" s="17" t="s">
        <v>3972</v>
      </c>
      <c r="H243" s="32"/>
    </row>
    <row r="244" spans="1:8">
      <c r="A244" s="21"/>
      <c r="B244" s="22"/>
      <c r="C244" s="16" t="s">
        <v>3309</v>
      </c>
      <c r="D244" s="16" t="s">
        <v>3973</v>
      </c>
      <c r="E244" s="17" t="s">
        <v>3974</v>
      </c>
      <c r="H244" s="32"/>
    </row>
    <row r="245" spans="1:8">
      <c r="A245" s="21"/>
      <c r="B245" s="22"/>
      <c r="C245" s="16" t="s">
        <v>3313</v>
      </c>
      <c r="D245" s="16" t="s">
        <v>3975</v>
      </c>
      <c r="E245" s="17" t="s">
        <v>3976</v>
      </c>
      <c r="H245" s="32"/>
    </row>
    <row r="246" spans="1:8">
      <c r="A246" s="21"/>
      <c r="B246" s="22"/>
      <c r="C246" s="16" t="s">
        <v>3317</v>
      </c>
      <c r="D246" s="16" t="s">
        <v>3977</v>
      </c>
      <c r="E246" s="17" t="s">
        <v>3978</v>
      </c>
      <c r="H246" s="32"/>
    </row>
    <row r="247" spans="1:8">
      <c r="A247" s="21"/>
      <c r="B247" s="22"/>
      <c r="C247" s="16" t="s">
        <v>3321</v>
      </c>
      <c r="D247" s="16" t="s">
        <v>3979</v>
      </c>
      <c r="E247" s="17" t="s">
        <v>3980</v>
      </c>
      <c r="H247" s="32"/>
    </row>
    <row r="248" spans="1:8">
      <c r="A248" s="21"/>
      <c r="B248" s="22"/>
      <c r="C248" s="16" t="s">
        <v>3325</v>
      </c>
      <c r="D248" s="16" t="s">
        <v>3981</v>
      </c>
      <c r="E248" s="17" t="s">
        <v>3982</v>
      </c>
      <c r="H248" s="32"/>
    </row>
    <row r="249" spans="1:8">
      <c r="A249" s="21"/>
      <c r="B249" s="22"/>
      <c r="C249" s="16" t="s">
        <v>3329</v>
      </c>
      <c r="D249" s="16" t="s">
        <v>3983</v>
      </c>
      <c r="E249" s="17" t="s">
        <v>3984</v>
      </c>
      <c r="H249" s="32"/>
    </row>
    <row r="250" spans="1:8">
      <c r="A250" s="21"/>
      <c r="B250" s="22" t="s">
        <v>3333</v>
      </c>
      <c r="C250" s="16" t="s">
        <v>3299</v>
      </c>
      <c r="D250" s="16" t="s">
        <v>3985</v>
      </c>
      <c r="E250" s="17" t="s">
        <v>3986</v>
      </c>
      <c r="H250" s="32"/>
    </row>
    <row r="251" spans="1:8">
      <c r="A251" s="21"/>
      <c r="B251" s="22"/>
      <c r="C251" s="16" t="s">
        <v>3305</v>
      </c>
      <c r="D251" s="16" t="s">
        <v>3987</v>
      </c>
      <c r="E251" s="17" t="s">
        <v>3988</v>
      </c>
      <c r="H251" s="32"/>
    </row>
    <row r="252" spans="1:8">
      <c r="A252" s="21"/>
      <c r="B252" s="22"/>
      <c r="C252" s="16" t="s">
        <v>3309</v>
      </c>
      <c r="D252" s="16" t="s">
        <v>3989</v>
      </c>
      <c r="E252" s="17" t="s">
        <v>3990</v>
      </c>
      <c r="H252" s="32"/>
    </row>
    <row r="253" spans="1:8">
      <c r="A253" s="21"/>
      <c r="B253" s="22"/>
      <c r="C253" s="16" t="s">
        <v>3313</v>
      </c>
      <c r="D253" s="16" t="s">
        <v>3991</v>
      </c>
      <c r="E253" s="17" t="s">
        <v>3992</v>
      </c>
      <c r="H253" s="32"/>
    </row>
    <row r="254" spans="1:8">
      <c r="A254" s="21"/>
      <c r="B254" s="22"/>
      <c r="C254" s="16" t="s">
        <v>3317</v>
      </c>
      <c r="D254" s="16" t="s">
        <v>3993</v>
      </c>
      <c r="E254" s="17" t="s">
        <v>3994</v>
      </c>
      <c r="H254" s="32"/>
    </row>
    <row r="255" spans="1:8">
      <c r="A255" s="21"/>
      <c r="B255" s="22"/>
      <c r="C255" s="16" t="s">
        <v>3321</v>
      </c>
      <c r="D255" s="16" t="s">
        <v>3995</v>
      </c>
      <c r="E255" s="17" t="s">
        <v>3996</v>
      </c>
      <c r="H255" s="32"/>
    </row>
    <row r="256" spans="1:8">
      <c r="A256" s="21"/>
      <c r="B256" s="22"/>
      <c r="C256" s="16" t="s">
        <v>3325</v>
      </c>
      <c r="D256" s="16" t="s">
        <v>3997</v>
      </c>
      <c r="E256" s="17" t="s">
        <v>3998</v>
      </c>
      <c r="H256" s="32"/>
    </row>
    <row r="257" spans="1:8">
      <c r="A257" s="21"/>
      <c r="B257" s="22"/>
      <c r="C257" s="16" t="s">
        <v>3329</v>
      </c>
      <c r="D257" s="16" t="s">
        <v>3999</v>
      </c>
      <c r="E257" s="17" t="s">
        <v>4000</v>
      </c>
      <c r="H257" s="33"/>
    </row>
    <row r="258" spans="1:8">
      <c r="A258" s="21" t="s">
        <v>123</v>
      </c>
      <c r="B258" s="22" t="s">
        <v>3298</v>
      </c>
      <c r="C258" s="16" t="s">
        <v>3299</v>
      </c>
      <c r="D258" s="16" t="s">
        <v>4001</v>
      </c>
      <c r="E258" s="17" t="s">
        <v>4002</v>
      </c>
      <c r="H258" s="30" t="s">
        <v>3970</v>
      </c>
    </row>
    <row r="259" spans="1:8">
      <c r="A259" s="21"/>
      <c r="B259" s="22"/>
      <c r="C259" s="16" t="s">
        <v>3305</v>
      </c>
      <c r="D259" s="16" t="s">
        <v>4003</v>
      </c>
      <c r="E259" s="17" t="s">
        <v>4004</v>
      </c>
      <c r="H259" s="32"/>
    </row>
    <row r="260" spans="1:8">
      <c r="A260" s="21"/>
      <c r="B260" s="22"/>
      <c r="C260" s="16" t="s">
        <v>3309</v>
      </c>
      <c r="D260" s="16" t="s">
        <v>4005</v>
      </c>
      <c r="E260" s="17" t="s">
        <v>4006</v>
      </c>
      <c r="H260" s="32"/>
    </row>
    <row r="261" spans="1:8">
      <c r="A261" s="21"/>
      <c r="B261" s="22"/>
      <c r="C261" s="16" t="s">
        <v>3313</v>
      </c>
      <c r="D261" s="16" t="s">
        <v>4007</v>
      </c>
      <c r="E261" s="17" t="s">
        <v>4008</v>
      </c>
      <c r="H261" s="32"/>
    </row>
    <row r="262" spans="1:8">
      <c r="A262" s="21"/>
      <c r="B262" s="22"/>
      <c r="C262" s="16" t="s">
        <v>3317</v>
      </c>
      <c r="D262" s="16" t="s">
        <v>4009</v>
      </c>
      <c r="E262" s="17" t="s">
        <v>4010</v>
      </c>
      <c r="H262" s="32"/>
    </row>
    <row r="263" spans="1:8">
      <c r="A263" s="21"/>
      <c r="B263" s="22"/>
      <c r="C263" s="16" t="s">
        <v>3321</v>
      </c>
      <c r="D263" s="16" t="s">
        <v>4011</v>
      </c>
      <c r="E263" s="17" t="s">
        <v>4012</v>
      </c>
      <c r="H263" s="32"/>
    </row>
    <row r="264" spans="1:8">
      <c r="A264" s="21"/>
      <c r="B264" s="22"/>
      <c r="C264" s="16" t="s">
        <v>3325</v>
      </c>
      <c r="D264" s="16" t="s">
        <v>4013</v>
      </c>
      <c r="E264" s="17" t="s">
        <v>4014</v>
      </c>
      <c r="H264" s="32"/>
    </row>
    <row r="265" spans="1:8">
      <c r="A265" s="21"/>
      <c r="B265" s="22"/>
      <c r="C265" s="16" t="s">
        <v>3329</v>
      </c>
      <c r="D265" s="16" t="s">
        <v>4015</v>
      </c>
      <c r="E265" s="17" t="s">
        <v>4016</v>
      </c>
      <c r="H265" s="32"/>
    </row>
    <row r="266" spans="1:8">
      <c r="A266" s="21"/>
      <c r="B266" s="22" t="s">
        <v>3333</v>
      </c>
      <c r="C266" s="16" t="s">
        <v>3299</v>
      </c>
      <c r="D266" s="16" t="s">
        <v>4017</v>
      </c>
      <c r="E266" s="17" t="s">
        <v>4018</v>
      </c>
      <c r="H266" s="32"/>
    </row>
    <row r="267" spans="1:8">
      <c r="A267" s="21"/>
      <c r="B267" s="22"/>
      <c r="C267" s="16" t="s">
        <v>3305</v>
      </c>
      <c r="D267" s="16" t="s">
        <v>4019</v>
      </c>
      <c r="E267" s="17" t="s">
        <v>4020</v>
      </c>
      <c r="H267" s="32"/>
    </row>
    <row r="268" spans="1:8">
      <c r="A268" s="21"/>
      <c r="B268" s="22"/>
      <c r="C268" s="16" t="s">
        <v>3309</v>
      </c>
      <c r="D268" s="16" t="s">
        <v>4021</v>
      </c>
      <c r="E268" s="17" t="s">
        <v>4022</v>
      </c>
      <c r="H268" s="32"/>
    </row>
    <row r="269" spans="1:8">
      <c r="A269" s="21"/>
      <c r="B269" s="22"/>
      <c r="C269" s="16" t="s">
        <v>3313</v>
      </c>
      <c r="D269" s="16" t="s">
        <v>4023</v>
      </c>
      <c r="E269" s="17" t="s">
        <v>4024</v>
      </c>
      <c r="H269" s="32"/>
    </row>
    <row r="270" spans="1:8">
      <c r="A270" s="21"/>
      <c r="B270" s="22"/>
      <c r="C270" s="16" t="s">
        <v>3317</v>
      </c>
      <c r="D270" s="16" t="s">
        <v>4025</v>
      </c>
      <c r="E270" s="17" t="s">
        <v>4026</v>
      </c>
      <c r="H270" s="32"/>
    </row>
    <row r="271" spans="1:8">
      <c r="A271" s="21"/>
      <c r="B271" s="22"/>
      <c r="C271" s="16" t="s">
        <v>3321</v>
      </c>
      <c r="D271" s="16" t="s">
        <v>4027</v>
      </c>
      <c r="E271" s="17" t="s">
        <v>4028</v>
      </c>
      <c r="H271" s="32"/>
    </row>
    <row r="272" spans="1:8">
      <c r="A272" s="21"/>
      <c r="B272" s="22"/>
      <c r="C272" s="16" t="s">
        <v>3325</v>
      </c>
      <c r="D272" s="16" t="s">
        <v>4029</v>
      </c>
      <c r="E272" s="17" t="s">
        <v>4030</v>
      </c>
      <c r="H272" s="32"/>
    </row>
    <row r="273" spans="1:8">
      <c r="A273" s="21"/>
      <c r="B273" s="22"/>
      <c r="C273" s="16" t="s">
        <v>3329</v>
      </c>
      <c r="D273" s="16" t="s">
        <v>4031</v>
      </c>
      <c r="E273" s="17" t="s">
        <v>4032</v>
      </c>
      <c r="H273" s="33"/>
    </row>
    <row r="274" spans="1:8">
      <c r="A274" s="21" t="s">
        <v>125</v>
      </c>
      <c r="B274" s="22" t="s">
        <v>3298</v>
      </c>
      <c r="C274" s="16" t="s">
        <v>3299</v>
      </c>
      <c r="D274" s="16" t="s">
        <v>4033</v>
      </c>
      <c r="E274" s="17" t="s">
        <v>4034</v>
      </c>
      <c r="H274" s="30" t="s">
        <v>3970</v>
      </c>
    </row>
    <row r="275" spans="1:8">
      <c r="A275" s="21"/>
      <c r="B275" s="22"/>
      <c r="C275" s="16" t="s">
        <v>3305</v>
      </c>
      <c r="D275" s="16" t="s">
        <v>4035</v>
      </c>
      <c r="E275" s="17" t="s">
        <v>4036</v>
      </c>
      <c r="H275" s="32"/>
    </row>
    <row r="276" spans="1:8">
      <c r="A276" s="21"/>
      <c r="B276" s="22"/>
      <c r="C276" s="16" t="s">
        <v>3309</v>
      </c>
      <c r="D276" s="16" t="s">
        <v>4037</v>
      </c>
      <c r="E276" s="17" t="s">
        <v>4038</v>
      </c>
      <c r="H276" s="32"/>
    </row>
    <row r="277" spans="1:8">
      <c r="A277" s="21"/>
      <c r="B277" s="22"/>
      <c r="C277" s="16" t="s">
        <v>3313</v>
      </c>
      <c r="D277" s="16" t="s">
        <v>4039</v>
      </c>
      <c r="E277" s="17" t="s">
        <v>4040</v>
      </c>
      <c r="H277" s="32"/>
    </row>
    <row r="278" spans="1:8">
      <c r="A278" s="21"/>
      <c r="B278" s="22"/>
      <c r="C278" s="16" t="s">
        <v>3317</v>
      </c>
      <c r="D278" s="16" t="s">
        <v>4041</v>
      </c>
      <c r="E278" s="17" t="s">
        <v>4042</v>
      </c>
      <c r="H278" s="32"/>
    </row>
    <row r="279" spans="1:8">
      <c r="A279" s="21"/>
      <c r="B279" s="22"/>
      <c r="C279" s="16" t="s">
        <v>3321</v>
      </c>
      <c r="D279" s="16" t="s">
        <v>4043</v>
      </c>
      <c r="E279" s="17" t="s">
        <v>4044</v>
      </c>
      <c r="H279" s="32"/>
    </row>
    <row r="280" spans="1:8">
      <c r="A280" s="21"/>
      <c r="B280" s="22"/>
      <c r="C280" s="16" t="s">
        <v>3325</v>
      </c>
      <c r="D280" s="16" t="s">
        <v>4045</v>
      </c>
      <c r="E280" s="17" t="s">
        <v>4046</v>
      </c>
      <c r="H280" s="32"/>
    </row>
    <row r="281" spans="1:8">
      <c r="A281" s="21"/>
      <c r="B281" s="22"/>
      <c r="C281" s="16" t="s">
        <v>3329</v>
      </c>
      <c r="D281" s="16" t="s">
        <v>4047</v>
      </c>
      <c r="E281" s="17" t="s">
        <v>4048</v>
      </c>
      <c r="H281" s="32"/>
    </row>
    <row r="282" spans="1:8">
      <c r="A282" s="21"/>
      <c r="B282" s="22" t="s">
        <v>3333</v>
      </c>
      <c r="C282" s="16" t="s">
        <v>3299</v>
      </c>
      <c r="D282" s="16" t="s">
        <v>4049</v>
      </c>
      <c r="E282" s="17" t="s">
        <v>4050</v>
      </c>
      <c r="H282" s="32"/>
    </row>
    <row r="283" spans="1:8">
      <c r="A283" s="21"/>
      <c r="B283" s="22"/>
      <c r="C283" s="16" t="s">
        <v>3305</v>
      </c>
      <c r="D283" s="16" t="s">
        <v>4051</v>
      </c>
      <c r="E283" s="17" t="s">
        <v>4052</v>
      </c>
      <c r="H283" s="32"/>
    </row>
    <row r="284" spans="1:8">
      <c r="A284" s="21"/>
      <c r="B284" s="22"/>
      <c r="C284" s="16" t="s">
        <v>3309</v>
      </c>
      <c r="D284" s="16" t="s">
        <v>4053</v>
      </c>
      <c r="E284" s="17" t="s">
        <v>4054</v>
      </c>
      <c r="H284" s="32"/>
    </row>
    <row r="285" spans="1:8">
      <c r="A285" s="21"/>
      <c r="B285" s="22"/>
      <c r="C285" s="16" t="s">
        <v>3313</v>
      </c>
      <c r="D285" s="16" t="s">
        <v>4055</v>
      </c>
      <c r="E285" s="17" t="s">
        <v>4056</v>
      </c>
      <c r="H285" s="32"/>
    </row>
    <row r="286" spans="1:8">
      <c r="A286" s="21"/>
      <c r="B286" s="22"/>
      <c r="C286" s="16" t="s">
        <v>3317</v>
      </c>
      <c r="D286" s="16" t="s">
        <v>4057</v>
      </c>
      <c r="E286" s="17" t="s">
        <v>4058</v>
      </c>
      <c r="H286" s="32"/>
    </row>
    <row r="287" spans="1:8">
      <c r="A287" s="21"/>
      <c r="B287" s="22"/>
      <c r="C287" s="16" t="s">
        <v>3321</v>
      </c>
      <c r="D287" s="16" t="s">
        <v>4059</v>
      </c>
      <c r="E287" s="17" t="s">
        <v>4060</v>
      </c>
      <c r="H287" s="32"/>
    </row>
    <row r="288" spans="1:8">
      <c r="A288" s="21"/>
      <c r="B288" s="22"/>
      <c r="C288" s="16" t="s">
        <v>3325</v>
      </c>
      <c r="D288" s="16" t="s">
        <v>4061</v>
      </c>
      <c r="E288" s="17" t="s">
        <v>4062</v>
      </c>
      <c r="H288" s="32"/>
    </row>
    <row r="289" spans="1:8">
      <c r="A289" s="21"/>
      <c r="B289" s="22"/>
      <c r="C289" s="16" t="s">
        <v>3329</v>
      </c>
      <c r="D289" s="16" t="s">
        <v>4063</v>
      </c>
      <c r="E289" s="17" t="s">
        <v>4064</v>
      </c>
      <c r="H289" s="33"/>
    </row>
    <row r="290" spans="1:8">
      <c r="A290" s="21" t="s">
        <v>183</v>
      </c>
      <c r="B290" s="22" t="s">
        <v>3298</v>
      </c>
      <c r="C290" s="16" t="s">
        <v>3299</v>
      </c>
      <c r="D290" s="16" t="s">
        <v>4065</v>
      </c>
      <c r="E290" s="17" t="s">
        <v>4066</v>
      </c>
      <c r="H290" s="30" t="s">
        <v>3970</v>
      </c>
    </row>
    <row r="291" spans="1:8">
      <c r="A291" s="21"/>
      <c r="B291" s="22"/>
      <c r="C291" s="16" t="s">
        <v>3305</v>
      </c>
      <c r="D291" s="16" t="s">
        <v>4067</v>
      </c>
      <c r="E291" s="17" t="s">
        <v>4068</v>
      </c>
      <c r="H291" s="32"/>
    </row>
    <row r="292" spans="1:8">
      <c r="A292" s="21"/>
      <c r="B292" s="22"/>
      <c r="C292" s="16" t="s">
        <v>3309</v>
      </c>
      <c r="D292" s="16" t="s">
        <v>4069</v>
      </c>
      <c r="E292" s="17" t="s">
        <v>4070</v>
      </c>
      <c r="H292" s="32"/>
    </row>
    <row r="293" spans="1:8">
      <c r="A293" s="21"/>
      <c r="B293" s="22"/>
      <c r="C293" s="16" t="s">
        <v>3313</v>
      </c>
      <c r="D293" s="16" t="s">
        <v>4071</v>
      </c>
      <c r="E293" s="17" t="s">
        <v>4072</v>
      </c>
      <c r="H293" s="32"/>
    </row>
    <row r="294" spans="1:8">
      <c r="A294" s="21"/>
      <c r="B294" s="22"/>
      <c r="C294" s="16" t="s">
        <v>3317</v>
      </c>
      <c r="D294" s="16" t="s">
        <v>4073</v>
      </c>
      <c r="E294" s="17" t="s">
        <v>4074</v>
      </c>
      <c r="H294" s="32"/>
    </row>
    <row r="295" spans="1:8">
      <c r="A295" s="21"/>
      <c r="B295" s="22"/>
      <c r="C295" s="16" t="s">
        <v>3321</v>
      </c>
      <c r="D295" s="16" t="s">
        <v>4075</v>
      </c>
      <c r="E295" s="17" t="s">
        <v>4076</v>
      </c>
      <c r="H295" s="32"/>
    </row>
    <row r="296" spans="1:8">
      <c r="A296" s="21"/>
      <c r="B296" s="22"/>
      <c r="C296" s="16" t="s">
        <v>3325</v>
      </c>
      <c r="D296" s="16" t="s">
        <v>4077</v>
      </c>
      <c r="E296" s="17" t="s">
        <v>4078</v>
      </c>
      <c r="H296" s="32"/>
    </row>
    <row r="297" spans="1:8">
      <c r="A297" s="21"/>
      <c r="B297" s="22"/>
      <c r="C297" s="16" t="s">
        <v>3329</v>
      </c>
      <c r="D297" s="16" t="s">
        <v>4079</v>
      </c>
      <c r="E297" s="17" t="s">
        <v>4080</v>
      </c>
      <c r="H297" s="32"/>
    </row>
    <row r="298" spans="1:8">
      <c r="A298" s="21"/>
      <c r="B298" s="22" t="s">
        <v>3333</v>
      </c>
      <c r="C298" s="16" t="s">
        <v>3299</v>
      </c>
      <c r="D298" s="16" t="s">
        <v>4081</v>
      </c>
      <c r="E298" s="17" t="s">
        <v>4082</v>
      </c>
      <c r="H298" s="32"/>
    </row>
    <row r="299" spans="1:8">
      <c r="A299" s="21"/>
      <c r="B299" s="22"/>
      <c r="C299" s="16" t="s">
        <v>3305</v>
      </c>
      <c r="D299" s="16" t="s">
        <v>4083</v>
      </c>
      <c r="E299" s="17" t="s">
        <v>4084</v>
      </c>
      <c r="H299" s="32"/>
    </row>
    <row r="300" spans="1:8">
      <c r="A300" s="21"/>
      <c r="B300" s="22"/>
      <c r="C300" s="16" t="s">
        <v>3309</v>
      </c>
      <c r="D300" s="16" t="s">
        <v>4085</v>
      </c>
      <c r="E300" s="17" t="s">
        <v>4086</v>
      </c>
      <c r="H300" s="32"/>
    </row>
    <row r="301" spans="1:8">
      <c r="A301" s="21"/>
      <c r="B301" s="22"/>
      <c r="C301" s="16" t="s">
        <v>3313</v>
      </c>
      <c r="D301" s="16" t="s">
        <v>4087</v>
      </c>
      <c r="E301" s="17" t="s">
        <v>4088</v>
      </c>
      <c r="H301" s="32"/>
    </row>
    <row r="302" spans="1:8">
      <c r="A302" s="21"/>
      <c r="B302" s="22"/>
      <c r="C302" s="16" t="s">
        <v>3317</v>
      </c>
      <c r="D302" s="16" t="s">
        <v>4089</v>
      </c>
      <c r="E302" s="17" t="s">
        <v>4090</v>
      </c>
      <c r="H302" s="32"/>
    </row>
    <row r="303" spans="1:8">
      <c r="A303" s="21"/>
      <c r="B303" s="22"/>
      <c r="C303" s="16" t="s">
        <v>3321</v>
      </c>
      <c r="D303" s="16" t="s">
        <v>4091</v>
      </c>
      <c r="E303" s="17" t="s">
        <v>4092</v>
      </c>
      <c r="H303" s="32"/>
    </row>
    <row r="304" spans="1:8">
      <c r="A304" s="21"/>
      <c r="B304" s="22"/>
      <c r="C304" s="16" t="s">
        <v>3325</v>
      </c>
      <c r="D304" s="16" t="s">
        <v>4093</v>
      </c>
      <c r="E304" s="17" t="s">
        <v>4094</v>
      </c>
      <c r="H304" s="32"/>
    </row>
    <row r="305" spans="1:8">
      <c r="A305" s="21"/>
      <c r="B305" s="22"/>
      <c r="C305" s="16" t="s">
        <v>3329</v>
      </c>
      <c r="D305" s="16" t="s">
        <v>4095</v>
      </c>
      <c r="E305" s="17" t="s">
        <v>4096</v>
      </c>
      <c r="H305" s="33"/>
    </row>
    <row r="306" spans="1:8">
      <c r="A306" s="21" t="s">
        <v>185</v>
      </c>
      <c r="B306" s="22" t="s">
        <v>3298</v>
      </c>
      <c r="C306" s="16" t="s">
        <v>3299</v>
      </c>
      <c r="E306" s="17" t="s">
        <v>4097</v>
      </c>
      <c r="H306" s="30" t="s">
        <v>3970</v>
      </c>
    </row>
    <row r="307" spans="1:8">
      <c r="A307" s="21"/>
      <c r="B307" s="22"/>
      <c r="C307" s="16" t="s">
        <v>3305</v>
      </c>
      <c r="E307" s="17" t="s">
        <v>4098</v>
      </c>
      <c r="H307" s="32"/>
    </row>
    <row r="308" spans="1:8">
      <c r="A308" s="21"/>
      <c r="B308" s="22"/>
      <c r="C308" s="16" t="s">
        <v>3309</v>
      </c>
      <c r="E308" s="17" t="s">
        <v>4099</v>
      </c>
      <c r="H308" s="32"/>
    </row>
    <row r="309" spans="1:8">
      <c r="A309" s="21"/>
      <c r="B309" s="22"/>
      <c r="C309" s="16" t="s">
        <v>3313</v>
      </c>
      <c r="E309" s="17" t="s">
        <v>4100</v>
      </c>
      <c r="H309" s="32"/>
    </row>
    <row r="310" spans="1:8">
      <c r="A310" s="21"/>
      <c r="B310" s="22"/>
      <c r="C310" s="16" t="s">
        <v>3317</v>
      </c>
      <c r="E310" s="17" t="s">
        <v>4101</v>
      </c>
      <c r="H310" s="32"/>
    </row>
    <row r="311" spans="1:8">
      <c r="A311" s="21"/>
      <c r="B311" s="22"/>
      <c r="C311" s="16" t="s">
        <v>3321</v>
      </c>
      <c r="E311" s="17" t="s">
        <v>4102</v>
      </c>
      <c r="H311" s="32"/>
    </row>
    <row r="312" spans="1:8">
      <c r="A312" s="21"/>
      <c r="B312" s="22"/>
      <c r="C312" s="16" t="s">
        <v>3325</v>
      </c>
      <c r="E312" s="17" t="s">
        <v>4103</v>
      </c>
      <c r="H312" s="32"/>
    </row>
    <row r="313" spans="1:8">
      <c r="A313" s="21"/>
      <c r="B313" s="22"/>
      <c r="C313" s="16" t="s">
        <v>3329</v>
      </c>
      <c r="E313" s="17" t="s">
        <v>4104</v>
      </c>
      <c r="H313" s="32"/>
    </row>
    <row r="314" spans="1:8">
      <c r="A314" s="21"/>
      <c r="B314" s="22" t="s">
        <v>3333</v>
      </c>
      <c r="C314" s="16" t="s">
        <v>3299</v>
      </c>
      <c r="E314" s="17" t="s">
        <v>4105</v>
      </c>
      <c r="H314" s="32"/>
    </row>
    <row r="315" spans="1:8">
      <c r="A315" s="21"/>
      <c r="B315" s="22"/>
      <c r="C315" s="16" t="s">
        <v>3305</v>
      </c>
      <c r="E315" s="17" t="s">
        <v>4106</v>
      </c>
      <c r="H315" s="32"/>
    </row>
    <row r="316" spans="1:8">
      <c r="A316" s="21"/>
      <c r="B316" s="22"/>
      <c r="C316" s="16" t="s">
        <v>3309</v>
      </c>
      <c r="E316" s="17" t="s">
        <v>4107</v>
      </c>
      <c r="H316" s="32"/>
    </row>
    <row r="317" spans="1:8">
      <c r="A317" s="21"/>
      <c r="B317" s="22"/>
      <c r="C317" s="16" t="s">
        <v>3313</v>
      </c>
      <c r="E317" s="17" t="s">
        <v>4108</v>
      </c>
      <c r="H317" s="32"/>
    </row>
    <row r="318" spans="1:8">
      <c r="A318" s="21"/>
      <c r="B318" s="22"/>
      <c r="C318" s="16" t="s">
        <v>3317</v>
      </c>
      <c r="E318" s="17" t="s">
        <v>4109</v>
      </c>
      <c r="H318" s="32"/>
    </row>
    <row r="319" spans="1:8">
      <c r="A319" s="21"/>
      <c r="B319" s="22"/>
      <c r="C319" s="16" t="s">
        <v>3321</v>
      </c>
      <c r="E319" s="17" t="s">
        <v>4110</v>
      </c>
      <c r="H319" s="32"/>
    </row>
    <row r="320" spans="1:8">
      <c r="A320" s="21"/>
      <c r="B320" s="22"/>
      <c r="C320" s="16" t="s">
        <v>3325</v>
      </c>
      <c r="E320" s="17" t="s">
        <v>4111</v>
      </c>
      <c r="H320" s="32"/>
    </row>
    <row r="321" spans="1:8">
      <c r="A321" s="21"/>
      <c r="B321" s="22"/>
      <c r="C321" s="16" t="s">
        <v>3329</v>
      </c>
      <c r="E321" s="17" t="s">
        <v>4112</v>
      </c>
      <c r="H321" s="33"/>
    </row>
    <row r="322" spans="1:8">
      <c r="A322" s="21" t="s">
        <v>187</v>
      </c>
      <c r="B322" s="22" t="s">
        <v>3298</v>
      </c>
      <c r="C322" s="16" t="s">
        <v>3299</v>
      </c>
      <c r="E322" s="17" t="s">
        <v>4113</v>
      </c>
      <c r="H322" s="30" t="s">
        <v>3970</v>
      </c>
    </row>
    <row r="323" spans="1:8">
      <c r="A323" s="21"/>
      <c r="B323" s="22"/>
      <c r="C323" s="16" t="s">
        <v>3305</v>
      </c>
      <c r="E323" s="17" t="s">
        <v>4114</v>
      </c>
      <c r="H323" s="32"/>
    </row>
    <row r="324" spans="1:8">
      <c r="A324" s="21"/>
      <c r="B324" s="22"/>
      <c r="C324" s="16" t="s">
        <v>3309</v>
      </c>
      <c r="E324" s="17" t="s">
        <v>4115</v>
      </c>
      <c r="H324" s="32"/>
    </row>
    <row r="325" spans="1:8">
      <c r="A325" s="21"/>
      <c r="B325" s="22"/>
      <c r="C325" s="16" t="s">
        <v>3313</v>
      </c>
      <c r="E325" s="17" t="s">
        <v>4116</v>
      </c>
      <c r="H325" s="32"/>
    </row>
    <row r="326" spans="1:8">
      <c r="A326" s="21"/>
      <c r="B326" s="22"/>
      <c r="C326" s="16" t="s">
        <v>3317</v>
      </c>
      <c r="E326" s="17" t="s">
        <v>4117</v>
      </c>
      <c r="H326" s="32"/>
    </row>
    <row r="327" spans="1:8">
      <c r="A327" s="21"/>
      <c r="B327" s="22"/>
      <c r="C327" s="16" t="s">
        <v>3321</v>
      </c>
      <c r="E327" s="17" t="s">
        <v>4118</v>
      </c>
      <c r="H327" s="32"/>
    </row>
    <row r="328" spans="1:8">
      <c r="A328" s="21"/>
      <c r="B328" s="22"/>
      <c r="C328" s="16" t="s">
        <v>3325</v>
      </c>
      <c r="E328" s="17" t="s">
        <v>4119</v>
      </c>
      <c r="H328" s="32"/>
    </row>
    <row r="329" spans="1:8">
      <c r="A329" s="21"/>
      <c r="B329" s="22"/>
      <c r="C329" s="16" t="s">
        <v>3329</v>
      </c>
      <c r="E329" s="17" t="s">
        <v>4120</v>
      </c>
      <c r="H329" s="32"/>
    </row>
    <row r="330" spans="1:8">
      <c r="A330" s="21"/>
      <c r="B330" s="22" t="s">
        <v>3333</v>
      </c>
      <c r="C330" s="16" t="s">
        <v>3299</v>
      </c>
      <c r="E330" s="17" t="s">
        <v>4121</v>
      </c>
      <c r="H330" s="32"/>
    </row>
    <row r="331" spans="1:8">
      <c r="A331" s="21"/>
      <c r="B331" s="22"/>
      <c r="C331" s="16" t="s">
        <v>3305</v>
      </c>
      <c r="E331" s="17" t="s">
        <v>4122</v>
      </c>
      <c r="H331" s="32"/>
    </row>
    <row r="332" spans="1:8">
      <c r="A332" s="21"/>
      <c r="B332" s="22"/>
      <c r="C332" s="16" t="s">
        <v>3309</v>
      </c>
      <c r="E332" s="17" t="s">
        <v>4123</v>
      </c>
      <c r="H332" s="32"/>
    </row>
    <row r="333" spans="1:8">
      <c r="A333" s="21"/>
      <c r="B333" s="22"/>
      <c r="C333" s="16" t="s">
        <v>3313</v>
      </c>
      <c r="E333" s="17" t="s">
        <v>4124</v>
      </c>
      <c r="H333" s="32"/>
    </row>
    <row r="334" spans="1:8">
      <c r="A334" s="21"/>
      <c r="B334" s="22"/>
      <c r="C334" s="16" t="s">
        <v>3317</v>
      </c>
      <c r="E334" s="17" t="s">
        <v>4125</v>
      </c>
      <c r="H334" s="32"/>
    </row>
    <row r="335" spans="1:8">
      <c r="A335" s="21"/>
      <c r="B335" s="22"/>
      <c r="C335" s="16" t="s">
        <v>3321</v>
      </c>
      <c r="E335" s="17" t="s">
        <v>4126</v>
      </c>
      <c r="H335" s="32"/>
    </row>
    <row r="336" spans="1:8">
      <c r="A336" s="21"/>
      <c r="B336" s="22"/>
      <c r="C336" s="16" t="s">
        <v>3325</v>
      </c>
      <c r="E336" s="17" t="s">
        <v>4127</v>
      </c>
      <c r="H336" s="32"/>
    </row>
    <row r="337" spans="1:8">
      <c r="A337" s="21"/>
      <c r="B337" s="22"/>
      <c r="C337" s="16" t="s">
        <v>3329</v>
      </c>
      <c r="E337" s="17" t="s">
        <v>4128</v>
      </c>
      <c r="H337" s="33"/>
    </row>
    <row r="338" spans="1:8">
      <c r="A338" s="21" t="s">
        <v>189</v>
      </c>
      <c r="B338" s="22" t="s">
        <v>3298</v>
      </c>
      <c r="C338" s="16" t="s">
        <v>3299</v>
      </c>
      <c r="D338" s="16" t="s">
        <v>4129</v>
      </c>
      <c r="E338" s="17" t="s">
        <v>4130</v>
      </c>
      <c r="H338" s="30" t="s">
        <v>3970</v>
      </c>
    </row>
    <row r="339" spans="1:8">
      <c r="A339" s="21"/>
      <c r="B339" s="22"/>
      <c r="C339" s="16" t="s">
        <v>3305</v>
      </c>
      <c r="D339" s="16" t="s">
        <v>4131</v>
      </c>
      <c r="E339" s="17" t="s">
        <v>4132</v>
      </c>
      <c r="H339" s="32"/>
    </row>
    <row r="340" spans="1:8">
      <c r="A340" s="21"/>
      <c r="B340" s="22"/>
      <c r="C340" s="16" t="s">
        <v>3309</v>
      </c>
      <c r="D340" s="16" t="s">
        <v>4133</v>
      </c>
      <c r="E340" s="17" t="s">
        <v>4134</v>
      </c>
      <c r="H340" s="32"/>
    </row>
    <row r="341" spans="1:8">
      <c r="A341" s="21"/>
      <c r="B341" s="22"/>
      <c r="C341" s="16" t="s">
        <v>3313</v>
      </c>
      <c r="D341" s="16" t="s">
        <v>4135</v>
      </c>
      <c r="E341" s="17" t="s">
        <v>4136</v>
      </c>
      <c r="H341" s="32"/>
    </row>
    <row r="342" spans="1:8">
      <c r="A342" s="21"/>
      <c r="B342" s="22"/>
      <c r="C342" s="16" t="s">
        <v>3317</v>
      </c>
      <c r="D342" s="16" t="s">
        <v>4137</v>
      </c>
      <c r="E342" s="17" t="s">
        <v>4138</v>
      </c>
      <c r="H342" s="32"/>
    </row>
    <row r="343" spans="1:8">
      <c r="A343" s="21"/>
      <c r="B343" s="22"/>
      <c r="C343" s="16" t="s">
        <v>3321</v>
      </c>
      <c r="D343" s="16" t="s">
        <v>4139</v>
      </c>
      <c r="E343" s="17" t="s">
        <v>4140</v>
      </c>
      <c r="H343" s="32"/>
    </row>
    <row r="344" spans="1:8">
      <c r="A344" s="21"/>
      <c r="B344" s="22"/>
      <c r="C344" s="16" t="s">
        <v>3325</v>
      </c>
      <c r="D344" s="16" t="s">
        <v>4141</v>
      </c>
      <c r="E344" s="17" t="s">
        <v>4142</v>
      </c>
      <c r="H344" s="32"/>
    </row>
    <row r="345" spans="1:8">
      <c r="A345" s="21"/>
      <c r="B345" s="22"/>
      <c r="C345" s="16" t="s">
        <v>3329</v>
      </c>
      <c r="D345" s="16" t="s">
        <v>4143</v>
      </c>
      <c r="E345" s="17" t="s">
        <v>4144</v>
      </c>
      <c r="H345" s="32"/>
    </row>
    <row r="346" spans="1:8">
      <c r="A346" s="21"/>
      <c r="B346" s="22" t="s">
        <v>3333</v>
      </c>
      <c r="C346" s="16" t="s">
        <v>3299</v>
      </c>
      <c r="D346" s="16" t="s">
        <v>4145</v>
      </c>
      <c r="E346" s="17" t="s">
        <v>4146</v>
      </c>
      <c r="H346" s="32"/>
    </row>
    <row r="347" spans="1:8">
      <c r="A347" s="21"/>
      <c r="B347" s="22"/>
      <c r="C347" s="16" t="s">
        <v>3305</v>
      </c>
      <c r="D347" s="16" t="s">
        <v>4147</v>
      </c>
      <c r="E347" s="17" t="s">
        <v>4148</v>
      </c>
      <c r="H347" s="32"/>
    </row>
    <row r="348" spans="1:8">
      <c r="A348" s="21"/>
      <c r="B348" s="22"/>
      <c r="C348" s="16" t="s">
        <v>3309</v>
      </c>
      <c r="D348" s="16" t="s">
        <v>4149</v>
      </c>
      <c r="E348" s="17" t="s">
        <v>4150</v>
      </c>
      <c r="H348" s="32"/>
    </row>
    <row r="349" spans="1:8">
      <c r="A349" s="21"/>
      <c r="B349" s="22"/>
      <c r="C349" s="16" t="s">
        <v>3313</v>
      </c>
      <c r="D349" s="16" t="s">
        <v>4151</v>
      </c>
      <c r="E349" s="17" t="s">
        <v>4152</v>
      </c>
      <c r="H349" s="32"/>
    </row>
    <row r="350" spans="1:8">
      <c r="A350" s="21"/>
      <c r="B350" s="22"/>
      <c r="C350" s="16" t="s">
        <v>3317</v>
      </c>
      <c r="D350" s="16" t="s">
        <v>4153</v>
      </c>
      <c r="E350" s="17" t="s">
        <v>4154</v>
      </c>
      <c r="H350" s="32"/>
    </row>
    <row r="351" spans="1:8">
      <c r="A351" s="21"/>
      <c r="B351" s="22"/>
      <c r="C351" s="16" t="s">
        <v>3321</v>
      </c>
      <c r="D351" s="16" t="s">
        <v>4155</v>
      </c>
      <c r="E351" s="17" t="s">
        <v>4156</v>
      </c>
      <c r="H351" s="32"/>
    </row>
    <row r="352" spans="1:8">
      <c r="A352" s="21"/>
      <c r="B352" s="22"/>
      <c r="C352" s="16" t="s">
        <v>3325</v>
      </c>
      <c r="D352" s="16" t="s">
        <v>4157</v>
      </c>
      <c r="E352" s="17" t="s">
        <v>4158</v>
      </c>
      <c r="H352" s="32"/>
    </row>
    <row r="353" spans="1:8">
      <c r="A353" s="21"/>
      <c r="B353" s="22"/>
      <c r="C353" s="16" t="s">
        <v>3329</v>
      </c>
      <c r="D353" s="16" t="s">
        <v>4159</v>
      </c>
      <c r="E353" s="17" t="s">
        <v>4160</v>
      </c>
      <c r="H353" s="33"/>
    </row>
    <row r="354" spans="1:8">
      <c r="A354" s="21" t="s">
        <v>191</v>
      </c>
      <c r="B354" s="22" t="s">
        <v>3298</v>
      </c>
      <c r="C354" s="16" t="s">
        <v>3299</v>
      </c>
      <c r="D354" s="16" t="s">
        <v>4161</v>
      </c>
      <c r="E354" s="17" t="s">
        <v>4162</v>
      </c>
      <c r="H354" s="30" t="s">
        <v>3970</v>
      </c>
    </row>
    <row r="355" spans="1:8">
      <c r="A355" s="21"/>
      <c r="B355" s="22"/>
      <c r="C355" s="16" t="s">
        <v>3305</v>
      </c>
      <c r="D355" s="16" t="s">
        <v>4163</v>
      </c>
      <c r="E355" s="17" t="s">
        <v>4164</v>
      </c>
      <c r="H355" s="32"/>
    </row>
    <row r="356" spans="1:8">
      <c r="A356" s="21"/>
      <c r="B356" s="22"/>
      <c r="C356" s="16" t="s">
        <v>3309</v>
      </c>
      <c r="D356" s="16" t="s">
        <v>4165</v>
      </c>
      <c r="E356" s="17" t="s">
        <v>4166</v>
      </c>
      <c r="H356" s="32"/>
    </row>
    <row r="357" spans="1:8">
      <c r="A357" s="21"/>
      <c r="B357" s="22"/>
      <c r="C357" s="16" t="s">
        <v>3313</v>
      </c>
      <c r="D357" s="16" t="s">
        <v>4167</v>
      </c>
      <c r="E357" s="17" t="s">
        <v>4168</v>
      </c>
      <c r="H357" s="32"/>
    </row>
    <row r="358" spans="1:8">
      <c r="A358" s="21"/>
      <c r="B358" s="22"/>
      <c r="C358" s="16" t="s">
        <v>3317</v>
      </c>
      <c r="D358" s="16" t="s">
        <v>4169</v>
      </c>
      <c r="E358" s="17" t="s">
        <v>4170</v>
      </c>
      <c r="H358" s="32"/>
    </row>
    <row r="359" spans="1:8">
      <c r="A359" s="21"/>
      <c r="B359" s="22"/>
      <c r="C359" s="16" t="s">
        <v>3321</v>
      </c>
      <c r="D359" s="16" t="s">
        <v>4171</v>
      </c>
      <c r="E359" s="17" t="s">
        <v>4172</v>
      </c>
      <c r="H359" s="32"/>
    </row>
    <row r="360" spans="1:8">
      <c r="A360" s="21"/>
      <c r="B360" s="22"/>
      <c r="C360" s="16" t="s">
        <v>3325</v>
      </c>
      <c r="D360" s="16" t="s">
        <v>4173</v>
      </c>
      <c r="E360" s="17" t="s">
        <v>4174</v>
      </c>
      <c r="H360" s="32"/>
    </row>
    <row r="361" spans="1:8">
      <c r="A361" s="21"/>
      <c r="B361" s="22"/>
      <c r="C361" s="16" t="s">
        <v>3329</v>
      </c>
      <c r="D361" s="16" t="s">
        <v>4175</v>
      </c>
      <c r="E361" s="17" t="s">
        <v>4176</v>
      </c>
      <c r="H361" s="32"/>
    </row>
    <row r="362" spans="1:8">
      <c r="A362" s="21"/>
      <c r="B362" s="22" t="s">
        <v>3333</v>
      </c>
      <c r="C362" s="16" t="s">
        <v>3299</v>
      </c>
      <c r="D362" s="16" t="s">
        <v>4177</v>
      </c>
      <c r="E362" s="17" t="s">
        <v>4178</v>
      </c>
      <c r="H362" s="32"/>
    </row>
    <row r="363" spans="1:8">
      <c r="A363" s="21"/>
      <c r="B363" s="22"/>
      <c r="C363" s="16" t="s">
        <v>3305</v>
      </c>
      <c r="D363" s="16" t="s">
        <v>4179</v>
      </c>
      <c r="E363" s="17" t="s">
        <v>4180</v>
      </c>
      <c r="H363" s="32"/>
    </row>
    <row r="364" spans="1:8">
      <c r="A364" s="21"/>
      <c r="B364" s="22"/>
      <c r="C364" s="16" t="s">
        <v>3309</v>
      </c>
      <c r="D364" s="16" t="s">
        <v>4181</v>
      </c>
      <c r="E364" s="17" t="s">
        <v>4182</v>
      </c>
      <c r="H364" s="32"/>
    </row>
    <row r="365" spans="1:8">
      <c r="A365" s="21"/>
      <c r="B365" s="22"/>
      <c r="C365" s="16" t="s">
        <v>3313</v>
      </c>
      <c r="D365" s="16" t="s">
        <v>4183</v>
      </c>
      <c r="E365" s="17" t="s">
        <v>4184</v>
      </c>
      <c r="H365" s="32"/>
    </row>
    <row r="366" spans="1:8">
      <c r="A366" s="21"/>
      <c r="B366" s="22"/>
      <c r="C366" s="16" t="s">
        <v>3317</v>
      </c>
      <c r="D366" s="16" t="s">
        <v>4185</v>
      </c>
      <c r="E366" s="17" t="s">
        <v>4186</v>
      </c>
      <c r="H366" s="32"/>
    </row>
    <row r="367" spans="1:8">
      <c r="A367" s="21"/>
      <c r="B367" s="22"/>
      <c r="C367" s="16" t="s">
        <v>3321</v>
      </c>
      <c r="D367" s="16" t="s">
        <v>4187</v>
      </c>
      <c r="E367" s="17" t="s">
        <v>4188</v>
      </c>
      <c r="H367" s="32"/>
    </row>
    <row r="368" spans="1:8">
      <c r="A368" s="21"/>
      <c r="B368" s="22"/>
      <c r="C368" s="16" t="s">
        <v>3325</v>
      </c>
      <c r="D368" s="16" t="s">
        <v>4189</v>
      </c>
      <c r="E368" s="17" t="s">
        <v>4190</v>
      </c>
      <c r="H368" s="32"/>
    </row>
    <row r="369" spans="1:8">
      <c r="A369" s="21"/>
      <c r="B369" s="22"/>
      <c r="C369" s="16" t="s">
        <v>3329</v>
      </c>
      <c r="D369" s="16" t="s">
        <v>4191</v>
      </c>
      <c r="E369" s="17" t="s">
        <v>4192</v>
      </c>
      <c r="H369" s="33"/>
    </row>
    <row r="370" spans="1:8">
      <c r="A370" s="21" t="s">
        <v>193</v>
      </c>
      <c r="B370" s="22" t="s">
        <v>3298</v>
      </c>
      <c r="C370" s="16" t="s">
        <v>3299</v>
      </c>
      <c r="E370" s="17" t="s">
        <v>4193</v>
      </c>
      <c r="H370" s="30" t="s">
        <v>3970</v>
      </c>
    </row>
    <row r="371" spans="1:8">
      <c r="A371" s="21"/>
      <c r="B371" s="22"/>
      <c r="C371" s="16" t="s">
        <v>3305</v>
      </c>
      <c r="E371" s="17" t="s">
        <v>4194</v>
      </c>
      <c r="H371" s="32"/>
    </row>
    <row r="372" spans="1:8">
      <c r="A372" s="21"/>
      <c r="B372" s="22"/>
      <c r="C372" s="16" t="s">
        <v>3309</v>
      </c>
      <c r="E372" s="17" t="s">
        <v>4195</v>
      </c>
      <c r="H372" s="32"/>
    </row>
    <row r="373" spans="1:8">
      <c r="A373" s="21"/>
      <c r="B373" s="22"/>
      <c r="C373" s="16" t="s">
        <v>3313</v>
      </c>
      <c r="E373" s="17" t="s">
        <v>4196</v>
      </c>
      <c r="H373" s="32"/>
    </row>
    <row r="374" spans="1:8">
      <c r="A374" s="21"/>
      <c r="B374" s="22"/>
      <c r="C374" s="16" t="s">
        <v>3317</v>
      </c>
      <c r="E374" s="17" t="s">
        <v>4197</v>
      </c>
      <c r="H374" s="32"/>
    </row>
    <row r="375" spans="1:8">
      <c r="A375" s="21"/>
      <c r="B375" s="22"/>
      <c r="C375" s="16" t="s">
        <v>3321</v>
      </c>
      <c r="E375" s="17" t="s">
        <v>4198</v>
      </c>
      <c r="H375" s="32"/>
    </row>
    <row r="376" spans="1:8">
      <c r="A376" s="21"/>
      <c r="B376" s="22"/>
      <c r="C376" s="16" t="s">
        <v>3325</v>
      </c>
      <c r="E376" s="17" t="s">
        <v>4199</v>
      </c>
      <c r="H376" s="32"/>
    </row>
    <row r="377" spans="1:8">
      <c r="A377" s="21"/>
      <c r="B377" s="22"/>
      <c r="C377" s="16" t="s">
        <v>3329</v>
      </c>
      <c r="E377" s="17" t="s">
        <v>4200</v>
      </c>
      <c r="H377" s="32"/>
    </row>
    <row r="378" spans="1:8">
      <c r="A378" s="21"/>
      <c r="B378" s="22" t="s">
        <v>3333</v>
      </c>
      <c r="C378" s="16" t="s">
        <v>3299</v>
      </c>
      <c r="E378" s="17" t="s">
        <v>4201</v>
      </c>
      <c r="H378" s="32"/>
    </row>
    <row r="379" spans="1:8">
      <c r="A379" s="21"/>
      <c r="B379" s="22"/>
      <c r="C379" s="16" t="s">
        <v>3305</v>
      </c>
      <c r="E379" s="17" t="s">
        <v>4202</v>
      </c>
      <c r="H379" s="32"/>
    </row>
    <row r="380" spans="1:8">
      <c r="A380" s="21"/>
      <c r="B380" s="22"/>
      <c r="C380" s="16" t="s">
        <v>3309</v>
      </c>
      <c r="E380" s="17" t="s">
        <v>4203</v>
      </c>
      <c r="H380" s="32"/>
    </row>
    <row r="381" spans="1:8">
      <c r="A381" s="21"/>
      <c r="B381" s="22"/>
      <c r="C381" s="16" t="s">
        <v>3313</v>
      </c>
      <c r="E381" s="17" t="s">
        <v>4204</v>
      </c>
      <c r="H381" s="32"/>
    </row>
    <row r="382" spans="1:8">
      <c r="A382" s="21"/>
      <c r="B382" s="22"/>
      <c r="C382" s="16" t="s">
        <v>3317</v>
      </c>
      <c r="E382" s="17" t="s">
        <v>4205</v>
      </c>
      <c r="H382" s="32"/>
    </row>
    <row r="383" spans="1:8">
      <c r="A383" s="21"/>
      <c r="B383" s="22"/>
      <c r="C383" s="16" t="s">
        <v>3321</v>
      </c>
      <c r="E383" s="17" t="s">
        <v>4206</v>
      </c>
      <c r="H383" s="32"/>
    </row>
    <row r="384" spans="1:8">
      <c r="A384" s="21"/>
      <c r="B384" s="22"/>
      <c r="C384" s="16" t="s">
        <v>3325</v>
      </c>
      <c r="E384" s="17" t="s">
        <v>4207</v>
      </c>
      <c r="H384" s="32"/>
    </row>
    <row r="385" spans="1:8">
      <c r="A385" s="21"/>
      <c r="B385" s="22"/>
      <c r="C385" s="16" t="s">
        <v>3329</v>
      </c>
      <c r="E385" s="17" t="s">
        <v>4208</v>
      </c>
      <c r="H385" s="33"/>
    </row>
    <row r="386" spans="1:8">
      <c r="A386" s="21" t="s">
        <v>195</v>
      </c>
      <c r="B386" s="22" t="s">
        <v>3298</v>
      </c>
      <c r="C386" s="16" t="s">
        <v>3299</v>
      </c>
      <c r="E386" s="17" t="s">
        <v>4209</v>
      </c>
      <c r="H386" s="30" t="s">
        <v>3970</v>
      </c>
    </row>
    <row r="387" spans="1:8">
      <c r="A387" s="21"/>
      <c r="B387" s="22"/>
      <c r="C387" s="16" t="s">
        <v>3305</v>
      </c>
      <c r="E387" s="17" t="s">
        <v>4210</v>
      </c>
      <c r="H387" s="32"/>
    </row>
    <row r="388" spans="1:8">
      <c r="A388" s="21"/>
      <c r="B388" s="22"/>
      <c r="C388" s="16" t="s">
        <v>3309</v>
      </c>
      <c r="E388" s="17" t="s">
        <v>4211</v>
      </c>
      <c r="H388" s="32"/>
    </row>
    <row r="389" spans="1:8">
      <c r="A389" s="21"/>
      <c r="B389" s="22"/>
      <c r="C389" s="16" t="s">
        <v>3313</v>
      </c>
      <c r="E389" s="17" t="s">
        <v>4212</v>
      </c>
      <c r="H389" s="32"/>
    </row>
    <row r="390" spans="1:8">
      <c r="A390" s="21"/>
      <c r="B390" s="22"/>
      <c r="C390" s="16" t="s">
        <v>3317</v>
      </c>
      <c r="E390" s="17" t="s">
        <v>4213</v>
      </c>
      <c r="H390" s="32"/>
    </row>
    <row r="391" spans="1:8">
      <c r="A391" s="21"/>
      <c r="B391" s="22"/>
      <c r="C391" s="16" t="s">
        <v>3321</v>
      </c>
      <c r="E391" s="17" t="s">
        <v>4214</v>
      </c>
      <c r="H391" s="32"/>
    </row>
    <row r="392" spans="1:8">
      <c r="A392" s="21"/>
      <c r="B392" s="22"/>
      <c r="C392" s="16" t="s">
        <v>3325</v>
      </c>
      <c r="E392" s="17" t="s">
        <v>4215</v>
      </c>
      <c r="H392" s="32"/>
    </row>
    <row r="393" spans="1:8">
      <c r="A393" s="21"/>
      <c r="B393" s="22"/>
      <c r="C393" s="16" t="s">
        <v>3329</v>
      </c>
      <c r="E393" s="17" t="s">
        <v>4216</v>
      </c>
      <c r="H393" s="32"/>
    </row>
    <row r="394" spans="1:8">
      <c r="A394" s="21"/>
      <c r="B394" s="22" t="s">
        <v>3333</v>
      </c>
      <c r="C394" s="16" t="s">
        <v>3299</v>
      </c>
      <c r="E394" s="17" t="s">
        <v>4217</v>
      </c>
      <c r="H394" s="32"/>
    </row>
    <row r="395" spans="1:8">
      <c r="A395" s="21"/>
      <c r="B395" s="22"/>
      <c r="C395" s="16" t="s">
        <v>3305</v>
      </c>
      <c r="E395" s="17" t="s">
        <v>4218</v>
      </c>
      <c r="H395" s="32"/>
    </row>
    <row r="396" spans="1:8">
      <c r="A396" s="21"/>
      <c r="B396" s="22"/>
      <c r="C396" s="16" t="s">
        <v>3309</v>
      </c>
      <c r="E396" s="17" t="s">
        <v>4219</v>
      </c>
      <c r="H396" s="32"/>
    </row>
    <row r="397" spans="1:8">
      <c r="A397" s="21"/>
      <c r="B397" s="22"/>
      <c r="C397" s="16" t="s">
        <v>3313</v>
      </c>
      <c r="E397" s="17" t="s">
        <v>4220</v>
      </c>
      <c r="H397" s="32"/>
    </row>
    <row r="398" spans="1:8">
      <c r="A398" s="21"/>
      <c r="B398" s="22"/>
      <c r="C398" s="16" t="s">
        <v>3317</v>
      </c>
      <c r="E398" s="17" t="s">
        <v>4221</v>
      </c>
      <c r="H398" s="32"/>
    </row>
    <row r="399" spans="1:8">
      <c r="A399" s="21"/>
      <c r="B399" s="22"/>
      <c r="C399" s="16" t="s">
        <v>3321</v>
      </c>
      <c r="E399" s="17" t="s">
        <v>4222</v>
      </c>
      <c r="H399" s="32"/>
    </row>
    <row r="400" spans="1:8">
      <c r="A400" s="21"/>
      <c r="B400" s="22"/>
      <c r="C400" s="16" t="s">
        <v>3325</v>
      </c>
      <c r="E400" s="17" t="s">
        <v>4223</v>
      </c>
      <c r="H400" s="32"/>
    </row>
    <row r="401" spans="1:8">
      <c r="A401" s="21"/>
      <c r="B401" s="22"/>
      <c r="C401" s="16" t="s">
        <v>3329</v>
      </c>
      <c r="E401" s="17" t="s">
        <v>4224</v>
      </c>
      <c r="H401" s="33"/>
    </row>
    <row r="402" spans="1:8">
      <c r="A402" s="21" t="s">
        <v>197</v>
      </c>
      <c r="B402" s="22" t="s">
        <v>3298</v>
      </c>
      <c r="C402" s="16" t="s">
        <v>3299</v>
      </c>
      <c r="D402" s="16" t="s">
        <v>4225</v>
      </c>
      <c r="E402" s="17" t="s">
        <v>4226</v>
      </c>
      <c r="F402" s="18" t="s">
        <v>4227</v>
      </c>
      <c r="H402" s="30" t="s">
        <v>4228</v>
      </c>
    </row>
    <row r="403" spans="1:8">
      <c r="A403" s="21"/>
      <c r="B403" s="22"/>
      <c r="C403" s="16" t="s">
        <v>3305</v>
      </c>
      <c r="D403" s="16" t="s">
        <v>4229</v>
      </c>
      <c r="E403" s="17" t="s">
        <v>4230</v>
      </c>
      <c r="F403" s="18" t="s">
        <v>4227</v>
      </c>
      <c r="H403" s="32"/>
    </row>
    <row r="404" spans="1:8">
      <c r="A404" s="21"/>
      <c r="B404" s="22"/>
      <c r="C404" s="16" t="s">
        <v>3309</v>
      </c>
      <c r="D404" s="16" t="s">
        <v>4231</v>
      </c>
      <c r="E404" s="17" t="s">
        <v>4232</v>
      </c>
      <c r="F404" s="18" t="s">
        <v>4227</v>
      </c>
      <c r="H404" s="32"/>
    </row>
    <row r="405" spans="1:8">
      <c r="A405" s="21"/>
      <c r="B405" s="22"/>
      <c r="C405" s="16" t="s">
        <v>3313</v>
      </c>
      <c r="D405" s="16" t="s">
        <v>4233</v>
      </c>
      <c r="E405" s="17" t="s">
        <v>4234</v>
      </c>
      <c r="F405" s="18" t="s">
        <v>4227</v>
      </c>
      <c r="H405" s="32"/>
    </row>
    <row r="406" spans="1:8">
      <c r="A406" s="21"/>
      <c r="B406" s="22"/>
      <c r="C406" s="16" t="s">
        <v>3317</v>
      </c>
      <c r="D406" s="16" t="s">
        <v>4235</v>
      </c>
      <c r="E406" s="17" t="s">
        <v>4236</v>
      </c>
      <c r="F406" s="18" t="s">
        <v>4227</v>
      </c>
      <c r="H406" s="32"/>
    </row>
    <row r="407" spans="1:8">
      <c r="A407" s="21"/>
      <c r="B407" s="22"/>
      <c r="C407" s="16" t="s">
        <v>3321</v>
      </c>
      <c r="D407" s="16" t="s">
        <v>4237</v>
      </c>
      <c r="E407" s="17" t="s">
        <v>4238</v>
      </c>
      <c r="F407" s="18" t="s">
        <v>4227</v>
      </c>
      <c r="H407" s="32"/>
    </row>
    <row r="408" spans="1:8">
      <c r="A408" s="21"/>
      <c r="B408" s="22"/>
      <c r="C408" s="16" t="s">
        <v>3325</v>
      </c>
      <c r="D408" s="16" t="s">
        <v>4239</v>
      </c>
      <c r="E408" s="17" t="s">
        <v>4240</v>
      </c>
      <c r="F408" s="18" t="s">
        <v>4227</v>
      </c>
      <c r="H408" s="32"/>
    </row>
    <row r="409" spans="1:8">
      <c r="A409" s="21"/>
      <c r="B409" s="22"/>
      <c r="C409" s="16" t="s">
        <v>3329</v>
      </c>
      <c r="D409" s="16" t="s">
        <v>4241</v>
      </c>
      <c r="E409" s="17" t="s">
        <v>4242</v>
      </c>
      <c r="F409" s="18" t="s">
        <v>4227</v>
      </c>
      <c r="H409" s="32"/>
    </row>
    <row r="410" spans="1:8">
      <c r="A410" s="21"/>
      <c r="B410" s="22" t="s">
        <v>3333</v>
      </c>
      <c r="C410" s="16" t="s">
        <v>3299</v>
      </c>
      <c r="D410" s="16" t="s">
        <v>4243</v>
      </c>
      <c r="E410" s="17" t="s">
        <v>4244</v>
      </c>
      <c r="F410" s="18" t="s">
        <v>4227</v>
      </c>
      <c r="H410" s="32"/>
    </row>
    <row r="411" spans="1:8">
      <c r="A411" s="21"/>
      <c r="B411" s="22"/>
      <c r="C411" s="16" t="s">
        <v>3305</v>
      </c>
      <c r="D411" s="16" t="s">
        <v>4245</v>
      </c>
      <c r="E411" s="17" t="s">
        <v>4246</v>
      </c>
      <c r="F411" s="18" t="s">
        <v>4227</v>
      </c>
      <c r="H411" s="32"/>
    </row>
    <row r="412" spans="1:8">
      <c r="A412" s="21"/>
      <c r="B412" s="22"/>
      <c r="C412" s="16" t="s">
        <v>3309</v>
      </c>
      <c r="D412" s="16" t="s">
        <v>4247</v>
      </c>
      <c r="E412" s="17" t="s">
        <v>4248</v>
      </c>
      <c r="F412" s="18" t="s">
        <v>4227</v>
      </c>
      <c r="H412" s="32"/>
    </row>
    <row r="413" spans="1:8">
      <c r="A413" s="21"/>
      <c r="B413" s="22"/>
      <c r="C413" s="16" t="s">
        <v>3313</v>
      </c>
      <c r="D413" s="16" t="s">
        <v>4249</v>
      </c>
      <c r="E413" s="17" t="s">
        <v>4250</v>
      </c>
      <c r="F413" s="18" t="s">
        <v>4227</v>
      </c>
      <c r="H413" s="32"/>
    </row>
    <row r="414" spans="1:8">
      <c r="A414" s="21"/>
      <c r="B414" s="22"/>
      <c r="C414" s="16" t="s">
        <v>3317</v>
      </c>
      <c r="D414" s="16" t="s">
        <v>4251</v>
      </c>
      <c r="E414" s="17" t="s">
        <v>4252</v>
      </c>
      <c r="F414" s="18" t="s">
        <v>4227</v>
      </c>
      <c r="H414" s="32"/>
    </row>
    <row r="415" spans="1:8">
      <c r="A415" s="21"/>
      <c r="B415" s="22"/>
      <c r="C415" s="16" t="s">
        <v>3321</v>
      </c>
      <c r="D415" s="16" t="s">
        <v>4253</v>
      </c>
      <c r="E415" s="17" t="s">
        <v>4254</v>
      </c>
      <c r="F415" s="18" t="s">
        <v>4227</v>
      </c>
      <c r="H415" s="32"/>
    </row>
    <row r="416" spans="1:8">
      <c r="A416" s="21"/>
      <c r="B416" s="22"/>
      <c r="C416" s="16" t="s">
        <v>3325</v>
      </c>
      <c r="D416" s="16" t="s">
        <v>4255</v>
      </c>
      <c r="E416" s="17" t="s">
        <v>4256</v>
      </c>
      <c r="F416" s="18" t="s">
        <v>4227</v>
      </c>
      <c r="H416" s="32"/>
    </row>
    <row r="417" spans="1:8">
      <c r="A417" s="21"/>
      <c r="B417" s="22"/>
      <c r="C417" s="16" t="s">
        <v>3329</v>
      </c>
      <c r="D417" s="16" t="s">
        <v>4257</v>
      </c>
      <c r="E417" s="17" t="s">
        <v>4258</v>
      </c>
      <c r="F417" s="18" t="s">
        <v>4227</v>
      </c>
      <c r="H417" s="33"/>
    </row>
    <row r="418" spans="1:8">
      <c r="A418" s="45" t="s">
        <v>4259</v>
      </c>
      <c r="B418" s="22" t="s">
        <v>3298</v>
      </c>
      <c r="C418" s="16" t="s">
        <v>3299</v>
      </c>
      <c r="D418" s="31" t="s">
        <v>4260</v>
      </c>
      <c r="E418" s="17" t="s">
        <v>4261</v>
      </c>
      <c r="F418" s="18" t="s">
        <v>4227</v>
      </c>
      <c r="H418" s="30" t="s">
        <v>4228</v>
      </c>
    </row>
    <row r="419" spans="1:8">
      <c r="A419" s="21"/>
      <c r="B419" s="22"/>
      <c r="C419" s="16" t="s">
        <v>3305</v>
      </c>
      <c r="D419" s="31" t="s">
        <v>4262</v>
      </c>
      <c r="E419" s="17" t="s">
        <v>4263</v>
      </c>
      <c r="F419" s="18" t="s">
        <v>4227</v>
      </c>
      <c r="H419" s="32"/>
    </row>
    <row r="420" spans="1:8">
      <c r="A420" s="21"/>
      <c r="B420" s="22"/>
      <c r="C420" s="16" t="s">
        <v>3309</v>
      </c>
      <c r="D420" s="31" t="s">
        <v>4264</v>
      </c>
      <c r="E420" s="17" t="s">
        <v>4265</v>
      </c>
      <c r="F420" s="18" t="s">
        <v>4227</v>
      </c>
      <c r="H420" s="32"/>
    </row>
    <row r="421" spans="1:8">
      <c r="A421" s="21"/>
      <c r="B421" s="22"/>
      <c r="C421" s="16" t="s">
        <v>3313</v>
      </c>
      <c r="D421" s="31" t="s">
        <v>4266</v>
      </c>
      <c r="E421" s="17" t="s">
        <v>4267</v>
      </c>
      <c r="F421" s="18" t="s">
        <v>4227</v>
      </c>
      <c r="H421" s="32"/>
    </row>
    <row r="422" spans="1:8">
      <c r="A422" s="21"/>
      <c r="B422" s="22"/>
      <c r="C422" s="16" t="s">
        <v>3317</v>
      </c>
      <c r="D422" s="31" t="s">
        <v>4268</v>
      </c>
      <c r="E422" s="17" t="s">
        <v>4269</v>
      </c>
      <c r="F422" s="18" t="s">
        <v>4227</v>
      </c>
      <c r="H422" s="32"/>
    </row>
    <row r="423" spans="1:8">
      <c r="A423" s="21"/>
      <c r="B423" s="22"/>
      <c r="C423" s="16" t="s">
        <v>3321</v>
      </c>
      <c r="D423" s="31" t="s">
        <v>4270</v>
      </c>
      <c r="E423" s="17" t="s">
        <v>4271</v>
      </c>
      <c r="F423" s="18" t="s">
        <v>4227</v>
      </c>
      <c r="H423" s="32"/>
    </row>
    <row r="424" spans="1:8">
      <c r="A424" s="21"/>
      <c r="B424" s="22"/>
      <c r="C424" s="16" t="s">
        <v>3325</v>
      </c>
      <c r="D424" s="31" t="s">
        <v>4272</v>
      </c>
      <c r="E424" s="17" t="s">
        <v>4273</v>
      </c>
      <c r="F424" s="18" t="s">
        <v>4227</v>
      </c>
      <c r="H424" s="32"/>
    </row>
    <row r="425" spans="1:8">
      <c r="A425" s="21"/>
      <c r="B425" s="22"/>
      <c r="C425" s="16" t="s">
        <v>3329</v>
      </c>
      <c r="D425" s="31" t="s">
        <v>4274</v>
      </c>
      <c r="E425" s="17" t="s">
        <v>4275</v>
      </c>
      <c r="F425" s="18" t="s">
        <v>4227</v>
      </c>
      <c r="H425" s="32"/>
    </row>
    <row r="426" spans="1:8">
      <c r="A426" s="21"/>
      <c r="B426" s="22" t="s">
        <v>3333</v>
      </c>
      <c r="C426" s="16" t="s">
        <v>3299</v>
      </c>
      <c r="D426" s="31" t="s">
        <v>4276</v>
      </c>
      <c r="E426" s="17" t="s">
        <v>4277</v>
      </c>
      <c r="F426" s="18" t="s">
        <v>4227</v>
      </c>
      <c r="H426" s="32"/>
    </row>
    <row r="427" spans="1:8">
      <c r="A427" s="21"/>
      <c r="B427" s="22"/>
      <c r="C427" s="16" t="s">
        <v>3305</v>
      </c>
      <c r="D427" s="31" t="s">
        <v>4278</v>
      </c>
      <c r="E427" s="17" t="s">
        <v>4279</v>
      </c>
      <c r="F427" s="18" t="s">
        <v>4227</v>
      </c>
      <c r="H427" s="32"/>
    </row>
    <row r="428" spans="1:8">
      <c r="A428" s="21"/>
      <c r="B428" s="22"/>
      <c r="C428" s="16" t="s">
        <v>3309</v>
      </c>
      <c r="D428" s="31" t="s">
        <v>4280</v>
      </c>
      <c r="E428" s="17" t="s">
        <v>4281</v>
      </c>
      <c r="F428" s="18" t="s">
        <v>4227</v>
      </c>
      <c r="H428" s="32"/>
    </row>
    <row r="429" spans="1:8">
      <c r="A429" s="21"/>
      <c r="B429" s="22"/>
      <c r="C429" s="16" t="s">
        <v>3313</v>
      </c>
      <c r="D429" s="31" t="s">
        <v>4282</v>
      </c>
      <c r="E429" s="17" t="s">
        <v>4283</v>
      </c>
      <c r="F429" s="18" t="s">
        <v>4227</v>
      </c>
      <c r="H429" s="32"/>
    </row>
    <row r="430" spans="1:8">
      <c r="A430" s="21"/>
      <c r="B430" s="22"/>
      <c r="C430" s="16" t="s">
        <v>3317</v>
      </c>
      <c r="D430" s="31" t="s">
        <v>4284</v>
      </c>
      <c r="E430" s="17" t="s">
        <v>4285</v>
      </c>
      <c r="F430" s="18" t="s">
        <v>4227</v>
      </c>
      <c r="H430" s="32"/>
    </row>
    <row r="431" spans="1:8">
      <c r="A431" s="21"/>
      <c r="B431" s="22"/>
      <c r="C431" s="16" t="s">
        <v>3321</v>
      </c>
      <c r="D431" s="31" t="s">
        <v>4286</v>
      </c>
      <c r="E431" s="17" t="s">
        <v>4287</v>
      </c>
      <c r="F431" s="18" t="s">
        <v>4227</v>
      </c>
      <c r="H431" s="32"/>
    </row>
    <row r="432" spans="1:8">
      <c r="A432" s="21"/>
      <c r="B432" s="22"/>
      <c r="C432" s="16" t="s">
        <v>3325</v>
      </c>
      <c r="D432" s="31" t="s">
        <v>4288</v>
      </c>
      <c r="E432" s="17" t="s">
        <v>4289</v>
      </c>
      <c r="F432" s="18" t="s">
        <v>4227</v>
      </c>
      <c r="H432" s="32"/>
    </row>
    <row r="433" spans="1:8">
      <c r="A433" s="21"/>
      <c r="B433" s="22"/>
      <c r="C433" s="16" t="s">
        <v>3329</v>
      </c>
      <c r="D433" s="31" t="s">
        <v>4290</v>
      </c>
      <c r="E433" s="17" t="s">
        <v>4291</v>
      </c>
      <c r="F433" s="18" t="s">
        <v>4227</v>
      </c>
      <c r="H433" s="33"/>
    </row>
  </sheetData>
  <mergeCells count="112">
    <mergeCell ref="A2:A17"/>
    <mergeCell ref="A18:A33"/>
    <mergeCell ref="A34:A49"/>
    <mergeCell ref="A50:A65"/>
    <mergeCell ref="A66:A81"/>
    <mergeCell ref="A82:A97"/>
    <mergeCell ref="A98:A113"/>
    <mergeCell ref="A114:A129"/>
    <mergeCell ref="A130:A145"/>
    <mergeCell ref="A146:A161"/>
    <mergeCell ref="A162:A177"/>
    <mergeCell ref="A178:A193"/>
    <mergeCell ref="A194:A209"/>
    <mergeCell ref="A210:A225"/>
    <mergeCell ref="A226:A241"/>
    <mergeCell ref="A242:A257"/>
    <mergeCell ref="A258:A273"/>
    <mergeCell ref="A274:A289"/>
    <mergeCell ref="A290:A305"/>
    <mergeCell ref="A306:A321"/>
    <mergeCell ref="A322:A337"/>
    <mergeCell ref="A338:A353"/>
    <mergeCell ref="A354:A369"/>
    <mergeCell ref="A370:A385"/>
    <mergeCell ref="A386:A401"/>
    <mergeCell ref="A402:A417"/>
    <mergeCell ref="A418:A433"/>
    <mergeCell ref="B2:B9"/>
    <mergeCell ref="B10:B17"/>
    <mergeCell ref="B18:B25"/>
    <mergeCell ref="B26:B33"/>
    <mergeCell ref="B34:B41"/>
    <mergeCell ref="B42:B49"/>
    <mergeCell ref="B50:B57"/>
    <mergeCell ref="B58:B65"/>
    <mergeCell ref="B66:B73"/>
    <mergeCell ref="B74:B81"/>
    <mergeCell ref="B82:B89"/>
    <mergeCell ref="B90:B97"/>
    <mergeCell ref="B98:B105"/>
    <mergeCell ref="B106:B113"/>
    <mergeCell ref="B114:B121"/>
    <mergeCell ref="B122:B129"/>
    <mergeCell ref="B130:B137"/>
    <mergeCell ref="B138:B145"/>
    <mergeCell ref="B146:B153"/>
    <mergeCell ref="B154:B161"/>
    <mergeCell ref="B162:B169"/>
    <mergeCell ref="B170:B177"/>
    <mergeCell ref="B178:B185"/>
    <mergeCell ref="B186:B193"/>
    <mergeCell ref="B194:B201"/>
    <mergeCell ref="B202:B209"/>
    <mergeCell ref="B210:B217"/>
    <mergeCell ref="B218:B225"/>
    <mergeCell ref="B226:B233"/>
    <mergeCell ref="B234:B241"/>
    <mergeCell ref="B242:B249"/>
    <mergeCell ref="B250:B257"/>
    <mergeCell ref="B258:B265"/>
    <mergeCell ref="B266:B273"/>
    <mergeCell ref="B274:B281"/>
    <mergeCell ref="B282:B289"/>
    <mergeCell ref="B290:B297"/>
    <mergeCell ref="B298:B305"/>
    <mergeCell ref="B306:B313"/>
    <mergeCell ref="B314:B321"/>
    <mergeCell ref="B322:B329"/>
    <mergeCell ref="B330:B337"/>
    <mergeCell ref="B338:B345"/>
    <mergeCell ref="B346:B353"/>
    <mergeCell ref="B354:B361"/>
    <mergeCell ref="B362:B369"/>
    <mergeCell ref="B370:B377"/>
    <mergeCell ref="B378:B385"/>
    <mergeCell ref="B386:B393"/>
    <mergeCell ref="B394:B401"/>
    <mergeCell ref="B402:B409"/>
    <mergeCell ref="B410:B417"/>
    <mergeCell ref="B418:B425"/>
    <mergeCell ref="B426:B433"/>
    <mergeCell ref="H2:H17"/>
    <mergeCell ref="H18:H25"/>
    <mergeCell ref="H26:H33"/>
    <mergeCell ref="H34:H41"/>
    <mergeCell ref="H42:H49"/>
    <mergeCell ref="H50:H65"/>
    <mergeCell ref="H66:H81"/>
    <mergeCell ref="H82:H97"/>
    <mergeCell ref="H98:H105"/>
    <mergeCell ref="H106:H113"/>
    <mergeCell ref="H114:H121"/>
    <mergeCell ref="H122:H129"/>
    <mergeCell ref="H130:H145"/>
    <mergeCell ref="H146:H161"/>
    <mergeCell ref="H162:H169"/>
    <mergeCell ref="H170:H177"/>
    <mergeCell ref="H178:H185"/>
    <mergeCell ref="H194:H241"/>
    <mergeCell ref="H242:H257"/>
    <mergeCell ref="H258:H273"/>
    <mergeCell ref="H274:H289"/>
    <mergeCell ref="H290:H305"/>
    <mergeCell ref="H306:H321"/>
    <mergeCell ref="H322:H337"/>
    <mergeCell ref="H338:H353"/>
    <mergeCell ref="H354:H369"/>
    <mergeCell ref="H370:H385"/>
    <mergeCell ref="H386:H401"/>
    <mergeCell ref="H402:H417"/>
    <mergeCell ref="H418:H433"/>
    <mergeCell ref="I114:I129"/>
  </mergeCells>
  <dataValidations count="1">
    <dataValidation type="list" allowBlank="1" showInputMessage="1" showErrorMessage="1" sqref="G2:G1048576">
      <formula1>"ARM,DSPM,DSPS,DSPM&amp;S,BMS,FUSE"</formula1>
    </dataValidation>
  </dataValidations>
  <pageMargins left="0.7" right="0.7" top="0.75" bottom="0.75" header="0.3" footer="0.3"/>
  <pageSetup paperSize="9" orientation="portrait"/>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119"/>
  <sheetViews>
    <sheetView topLeftCell="A90" workbookViewId="0">
      <selection activeCell="G18" sqref="G18"/>
    </sheetView>
  </sheetViews>
  <sheetFormatPr defaultColWidth="9" defaultRowHeight="14.25" outlineLevelCol="2"/>
  <cols>
    <col min="1" max="1" width="17.25" style="1" customWidth="1"/>
    <col min="2" max="2" width="27.75" style="2" customWidth="1"/>
    <col min="3" max="3" width="83.625" style="2" customWidth="1"/>
  </cols>
  <sheetData>
    <row r="1" ht="23" customHeight="1" spans="1:3">
      <c r="A1" s="3" t="s">
        <v>4292</v>
      </c>
      <c r="B1" s="4" t="s">
        <v>4293</v>
      </c>
      <c r="C1" s="4" t="s">
        <v>4294</v>
      </c>
    </row>
    <row r="2" spans="1:3">
      <c r="A2" s="5">
        <v>43974</v>
      </c>
      <c r="B2" s="6" t="s">
        <v>4295</v>
      </c>
      <c r="C2" s="7" t="s">
        <v>4296</v>
      </c>
    </row>
    <row r="3" spans="2:3">
      <c r="B3" s="6" t="s">
        <v>4297</v>
      </c>
      <c r="C3" s="7" t="s">
        <v>4298</v>
      </c>
    </row>
    <row r="4" spans="2:3">
      <c r="B4" s="6" t="s">
        <v>4299</v>
      </c>
      <c r="C4" s="7" t="s">
        <v>4300</v>
      </c>
    </row>
    <row r="5" spans="2:3">
      <c r="B5" s="6" t="s">
        <v>4301</v>
      </c>
      <c r="C5" s="7" t="s">
        <v>4302</v>
      </c>
    </row>
    <row r="6" spans="2:3">
      <c r="B6" s="6" t="s">
        <v>4303</v>
      </c>
      <c r="C6" s="7" t="s">
        <v>4304</v>
      </c>
    </row>
    <row r="7" spans="1:3">
      <c r="A7" s="5">
        <v>43985</v>
      </c>
      <c r="B7" s="6" t="s">
        <v>4305</v>
      </c>
      <c r="C7" s="7" t="s">
        <v>4306</v>
      </c>
    </row>
    <row r="8" spans="1:3">
      <c r="A8" s="5">
        <v>43992</v>
      </c>
      <c r="B8" s="6" t="s">
        <v>4295</v>
      </c>
      <c r="C8" s="7" t="s">
        <v>4307</v>
      </c>
    </row>
    <row r="9" spans="1:3">
      <c r="A9" s="5">
        <v>44011</v>
      </c>
      <c r="B9" s="6" t="s">
        <v>4308</v>
      </c>
      <c r="C9" s="7" t="s">
        <v>4302</v>
      </c>
    </row>
    <row r="10" spans="2:3">
      <c r="B10" s="6" t="s">
        <v>4309</v>
      </c>
      <c r="C10" s="7" t="s">
        <v>4310</v>
      </c>
    </row>
    <row r="11" spans="2:3">
      <c r="B11" s="6" t="s">
        <v>4311</v>
      </c>
      <c r="C11" s="7" t="s">
        <v>4310</v>
      </c>
    </row>
    <row r="12" spans="1:3">
      <c r="A12" s="5">
        <v>44074</v>
      </c>
      <c r="B12" s="6" t="s">
        <v>4312</v>
      </c>
      <c r="C12" s="7" t="s">
        <v>4313</v>
      </c>
    </row>
    <row r="13" spans="1:3">
      <c r="A13" s="5"/>
      <c r="B13" s="6" t="s">
        <v>4314</v>
      </c>
      <c r="C13" s="7" t="s">
        <v>4315</v>
      </c>
    </row>
    <row r="14" spans="1:3">
      <c r="A14" s="5"/>
      <c r="B14" s="6" t="s">
        <v>4316</v>
      </c>
      <c r="C14" s="7" t="s">
        <v>4315</v>
      </c>
    </row>
    <row r="15" spans="2:3">
      <c r="B15" s="6" t="s">
        <v>4317</v>
      </c>
      <c r="C15" s="7" t="s">
        <v>4318</v>
      </c>
    </row>
    <row r="16" spans="2:3">
      <c r="B16" s="6" t="s">
        <v>4319</v>
      </c>
      <c r="C16" s="7" t="s">
        <v>4320</v>
      </c>
    </row>
    <row r="17" spans="2:3">
      <c r="B17" s="6" t="s">
        <v>4321</v>
      </c>
      <c r="C17" s="7" t="s">
        <v>4322</v>
      </c>
    </row>
    <row r="18" spans="2:3">
      <c r="B18" s="6" t="s">
        <v>4323</v>
      </c>
      <c r="C18" s="7" t="s">
        <v>4324</v>
      </c>
    </row>
    <row r="19" spans="2:3">
      <c r="B19" s="6" t="s">
        <v>4325</v>
      </c>
      <c r="C19" s="7" t="s">
        <v>4326</v>
      </c>
    </row>
    <row r="20" spans="2:3">
      <c r="B20" s="6" t="s">
        <v>4327</v>
      </c>
      <c r="C20" s="7" t="s">
        <v>4328</v>
      </c>
    </row>
    <row r="21" spans="2:3">
      <c r="B21" s="6" t="s">
        <v>4329</v>
      </c>
      <c r="C21" s="7" t="s">
        <v>4330</v>
      </c>
    </row>
    <row r="22" spans="2:3">
      <c r="B22" s="6" t="s">
        <v>4331</v>
      </c>
      <c r="C22" s="7" t="s">
        <v>4326</v>
      </c>
    </row>
    <row r="23" spans="2:3">
      <c r="B23" s="6" t="s">
        <v>4332</v>
      </c>
      <c r="C23" s="7" t="s">
        <v>4333</v>
      </c>
    </row>
    <row r="24" spans="2:3">
      <c r="B24" s="6" t="s">
        <v>4334</v>
      </c>
      <c r="C24" s="7" t="s">
        <v>4335</v>
      </c>
    </row>
    <row r="25" spans="2:3">
      <c r="B25" s="6" t="s">
        <v>4336</v>
      </c>
      <c r="C25" s="7" t="s">
        <v>4337</v>
      </c>
    </row>
    <row r="26" spans="2:3">
      <c r="B26" s="6" t="s">
        <v>4338</v>
      </c>
      <c r="C26" s="7" t="s">
        <v>4339</v>
      </c>
    </row>
    <row r="27" spans="1:3">
      <c r="A27" s="5">
        <v>44078</v>
      </c>
      <c r="B27" s="6" t="s">
        <v>4340</v>
      </c>
      <c r="C27" s="7" t="s">
        <v>4315</v>
      </c>
    </row>
    <row r="28" spans="2:3">
      <c r="B28" s="6" t="s">
        <v>4341</v>
      </c>
      <c r="C28" s="7" t="s">
        <v>4342</v>
      </c>
    </row>
    <row r="29" spans="2:3">
      <c r="B29" s="6" t="s">
        <v>4343</v>
      </c>
      <c r="C29" s="7" t="s">
        <v>4315</v>
      </c>
    </row>
    <row r="30" spans="2:3">
      <c r="B30" s="6" t="s">
        <v>4344</v>
      </c>
      <c r="C30" s="7" t="s">
        <v>4345</v>
      </c>
    </row>
    <row r="31" spans="1:3">
      <c r="A31" s="5">
        <v>44117</v>
      </c>
      <c r="B31" s="6" t="s">
        <v>4346</v>
      </c>
      <c r="C31" s="7" t="s">
        <v>4347</v>
      </c>
    </row>
    <row r="32" spans="2:3">
      <c r="B32" s="6" t="s">
        <v>4348</v>
      </c>
      <c r="C32" s="7" t="s">
        <v>4347</v>
      </c>
    </row>
    <row r="33" spans="2:3">
      <c r="B33" s="6" t="s">
        <v>4349</v>
      </c>
      <c r="C33" s="7" t="s">
        <v>4350</v>
      </c>
    </row>
    <row r="34" spans="1:3">
      <c r="A34" s="5">
        <v>44134</v>
      </c>
      <c r="B34" s="6" t="s">
        <v>4341</v>
      </c>
      <c r="C34" s="7" t="s">
        <v>4351</v>
      </c>
    </row>
    <row r="35" spans="2:3">
      <c r="B35" s="6" t="s">
        <v>4352</v>
      </c>
      <c r="C35" s="7" t="s">
        <v>4315</v>
      </c>
    </row>
    <row r="36" spans="2:3">
      <c r="B36" s="6" t="s">
        <v>4353</v>
      </c>
      <c r="C36" s="7" t="s">
        <v>4315</v>
      </c>
    </row>
    <row r="37" spans="2:3">
      <c r="B37" s="6" t="s">
        <v>4354</v>
      </c>
      <c r="C37" s="7" t="s">
        <v>4310</v>
      </c>
    </row>
    <row r="38" spans="1:3">
      <c r="A38" s="5">
        <v>44151</v>
      </c>
      <c r="B38" s="6" t="s">
        <v>4355</v>
      </c>
      <c r="C38" s="7" t="s">
        <v>4315</v>
      </c>
    </row>
    <row r="39" spans="1:3">
      <c r="A39" s="5">
        <v>44167</v>
      </c>
      <c r="B39" s="6" t="s">
        <v>4356</v>
      </c>
      <c r="C39" s="7" t="s">
        <v>4357</v>
      </c>
    </row>
    <row r="40" spans="1:3">
      <c r="A40" s="5"/>
      <c r="B40" s="6" t="s">
        <v>4312</v>
      </c>
      <c r="C40" s="7" t="s">
        <v>4357</v>
      </c>
    </row>
    <row r="41" spans="2:3">
      <c r="B41" s="6" t="s">
        <v>4358</v>
      </c>
      <c r="C41" s="7" t="s">
        <v>4359</v>
      </c>
    </row>
    <row r="42" spans="2:3">
      <c r="B42" s="6" t="s">
        <v>4360</v>
      </c>
      <c r="C42" s="7" t="s">
        <v>4359</v>
      </c>
    </row>
    <row r="43" spans="2:3">
      <c r="B43" s="6" t="s">
        <v>4361</v>
      </c>
      <c r="C43" s="7" t="s">
        <v>4357</v>
      </c>
    </row>
    <row r="44" spans="2:3">
      <c r="B44" s="2" t="s">
        <v>4362</v>
      </c>
      <c r="C44" s="7" t="s">
        <v>4363</v>
      </c>
    </row>
    <row r="45" spans="2:3">
      <c r="B45" s="6" t="s">
        <v>4364</v>
      </c>
      <c r="C45" s="7" t="s">
        <v>4365</v>
      </c>
    </row>
    <row r="46" spans="2:3">
      <c r="B46" s="6" t="s">
        <v>4366</v>
      </c>
      <c r="C46" s="7" t="s">
        <v>4315</v>
      </c>
    </row>
    <row r="47" spans="2:3">
      <c r="B47" s="6" t="s">
        <v>4367</v>
      </c>
      <c r="C47" s="7" t="s">
        <v>4368</v>
      </c>
    </row>
    <row r="48" spans="2:3">
      <c r="B48" s="6" t="s">
        <v>4369</v>
      </c>
      <c r="C48" s="7" t="s">
        <v>4370</v>
      </c>
    </row>
    <row r="49" spans="2:3">
      <c r="B49" s="6" t="s">
        <v>4371</v>
      </c>
      <c r="C49" s="7" t="s">
        <v>4372</v>
      </c>
    </row>
    <row r="50" spans="2:3">
      <c r="B50" s="6" t="s">
        <v>4373</v>
      </c>
      <c r="C50" s="7" t="s">
        <v>4374</v>
      </c>
    </row>
    <row r="51" spans="2:3">
      <c r="B51" s="6" t="s">
        <v>4375</v>
      </c>
      <c r="C51" s="7" t="s">
        <v>4376</v>
      </c>
    </row>
    <row r="52" spans="1:3">
      <c r="A52" s="8">
        <v>44223</v>
      </c>
      <c r="B52" s="9" t="s">
        <v>4377</v>
      </c>
      <c r="C52" s="10" t="s">
        <v>4378</v>
      </c>
    </row>
    <row r="53" ht="28.5" spans="1:3">
      <c r="A53" s="11"/>
      <c r="B53" s="12" t="s">
        <v>4379</v>
      </c>
      <c r="C53" s="10" t="s">
        <v>4380</v>
      </c>
    </row>
    <row r="54" spans="1:3">
      <c r="A54" s="11"/>
      <c r="B54" s="9" t="s">
        <v>4381</v>
      </c>
      <c r="C54" s="7" t="s">
        <v>4315</v>
      </c>
    </row>
    <row r="55" spans="1:3">
      <c r="A55" s="11"/>
      <c r="B55" s="9" t="s">
        <v>4382</v>
      </c>
      <c r="C55" s="7" t="s">
        <v>4315</v>
      </c>
    </row>
    <row r="56" spans="1:3">
      <c r="A56" s="11"/>
      <c r="B56" s="9" t="s">
        <v>4383</v>
      </c>
      <c r="C56" s="7" t="s">
        <v>4315</v>
      </c>
    </row>
    <row r="57" spans="1:3">
      <c r="A57" s="11"/>
      <c r="B57" s="9" t="s">
        <v>4384</v>
      </c>
      <c r="C57" s="7" t="s">
        <v>4315</v>
      </c>
    </row>
    <row r="58" spans="1:3">
      <c r="A58" s="11"/>
      <c r="B58" s="9" t="s">
        <v>4385</v>
      </c>
      <c r="C58" s="10" t="s">
        <v>4386</v>
      </c>
    </row>
    <row r="59" spans="1:3">
      <c r="A59" s="11"/>
      <c r="B59" s="9" t="s">
        <v>4387</v>
      </c>
      <c r="C59" s="10" t="s">
        <v>4388</v>
      </c>
    </row>
    <row r="60" spans="1:3">
      <c r="A60" s="11"/>
      <c r="B60" s="9" t="s">
        <v>4389</v>
      </c>
      <c r="C60" s="10" t="s">
        <v>4390</v>
      </c>
    </row>
    <row r="61" spans="1:3">
      <c r="A61" s="11"/>
      <c r="B61" s="9" t="s">
        <v>4391</v>
      </c>
      <c r="C61" s="10" t="s">
        <v>4392</v>
      </c>
    </row>
    <row r="62" spans="1:3">
      <c r="A62" s="11"/>
      <c r="B62" s="9" t="s">
        <v>4393</v>
      </c>
      <c r="C62" s="10" t="s">
        <v>4394</v>
      </c>
    </row>
    <row r="63" spans="1:3">
      <c r="A63" s="11"/>
      <c r="B63" s="9" t="s">
        <v>4395</v>
      </c>
      <c r="C63" s="10" t="s">
        <v>4396</v>
      </c>
    </row>
    <row r="64" spans="1:3">
      <c r="A64" s="8">
        <v>44232</v>
      </c>
      <c r="B64" s="9" t="s">
        <v>4397</v>
      </c>
      <c r="C64" s="10" t="s">
        <v>4398</v>
      </c>
    </row>
    <row r="65" ht="42.75" spans="1:3">
      <c r="A65" s="8">
        <v>44243</v>
      </c>
      <c r="B65" s="12" t="s">
        <v>4399</v>
      </c>
      <c r="C65" s="13" t="s">
        <v>4400</v>
      </c>
    </row>
    <row r="66" spans="1:3">
      <c r="A66" s="11"/>
      <c r="B66" s="9" t="s">
        <v>4401</v>
      </c>
      <c r="C66" s="10" t="s">
        <v>4402</v>
      </c>
    </row>
    <row r="67" spans="1:3">
      <c r="A67" s="11"/>
      <c r="B67" s="9" t="s">
        <v>4403</v>
      </c>
      <c r="C67" s="10" t="s">
        <v>4404</v>
      </c>
    </row>
    <row r="68" spans="1:3">
      <c r="A68" s="11"/>
      <c r="B68" s="9" t="s">
        <v>4362</v>
      </c>
      <c r="C68" s="10" t="s">
        <v>4405</v>
      </c>
    </row>
    <row r="69" spans="1:3">
      <c r="A69" s="8">
        <v>44271</v>
      </c>
      <c r="B69" s="9" t="s">
        <v>4406</v>
      </c>
      <c r="C69" s="10" t="s">
        <v>4407</v>
      </c>
    </row>
    <row r="70" spans="1:3">
      <c r="A70" s="8"/>
      <c r="B70" s="9" t="s">
        <v>4408</v>
      </c>
      <c r="C70" s="10" t="s">
        <v>4409</v>
      </c>
    </row>
    <row r="71" spans="1:3">
      <c r="A71" s="11"/>
      <c r="B71" s="9" t="s">
        <v>4410</v>
      </c>
      <c r="C71" s="10" t="s">
        <v>4407</v>
      </c>
    </row>
    <row r="72" spans="1:3">
      <c r="A72" s="11"/>
      <c r="B72" s="9" t="s">
        <v>4411</v>
      </c>
      <c r="C72" s="10" t="s">
        <v>4412</v>
      </c>
    </row>
    <row r="73" spans="1:3">
      <c r="A73" s="11"/>
      <c r="B73" s="9" t="s">
        <v>4413</v>
      </c>
      <c r="C73" s="10" t="s">
        <v>4414</v>
      </c>
    </row>
    <row r="74" spans="1:3">
      <c r="A74" s="11"/>
      <c r="B74" s="9" t="s">
        <v>4415</v>
      </c>
      <c r="C74" s="10" t="s">
        <v>4416</v>
      </c>
    </row>
    <row r="75" spans="1:3">
      <c r="A75" s="11"/>
      <c r="B75" s="9" t="s">
        <v>4417</v>
      </c>
      <c r="C75" s="10" t="s">
        <v>4418</v>
      </c>
    </row>
    <row r="76" spans="1:3">
      <c r="A76" s="11"/>
      <c r="B76" s="9" t="s">
        <v>4419</v>
      </c>
      <c r="C76" s="10" t="s">
        <v>4418</v>
      </c>
    </row>
    <row r="77" spans="1:3">
      <c r="A77" s="11"/>
      <c r="B77" s="9" t="s">
        <v>4420</v>
      </c>
      <c r="C77" s="10" t="s">
        <v>4421</v>
      </c>
    </row>
    <row r="78" spans="1:3">
      <c r="A78" s="11"/>
      <c r="B78" s="9" t="s">
        <v>4422</v>
      </c>
      <c r="C78" s="10" t="s">
        <v>4423</v>
      </c>
    </row>
    <row r="79" spans="1:3">
      <c r="A79" s="11"/>
      <c r="B79" s="9" t="s">
        <v>4424</v>
      </c>
      <c r="C79" s="10" t="s">
        <v>4425</v>
      </c>
    </row>
    <row r="80" spans="1:3">
      <c r="A80" s="11"/>
      <c r="B80" s="9" t="s">
        <v>4426</v>
      </c>
      <c r="C80" s="10" t="s">
        <v>4427</v>
      </c>
    </row>
    <row r="81" spans="1:3">
      <c r="A81" s="11"/>
      <c r="B81" s="9" t="s">
        <v>4299</v>
      </c>
      <c r="C81" s="10" t="s">
        <v>4416</v>
      </c>
    </row>
    <row r="82" spans="1:3">
      <c r="A82" s="11"/>
      <c r="B82" s="9" t="s">
        <v>4428</v>
      </c>
      <c r="C82" s="10" t="s">
        <v>4416</v>
      </c>
    </row>
    <row r="83" spans="1:3">
      <c r="A83" s="5">
        <v>44366</v>
      </c>
      <c r="B83" s="2" t="s">
        <v>4429</v>
      </c>
      <c r="C83" s="7" t="s">
        <v>4430</v>
      </c>
    </row>
    <row r="84" spans="2:3">
      <c r="B84" s="2" t="s">
        <v>4431</v>
      </c>
      <c r="C84" s="7" t="s">
        <v>4432</v>
      </c>
    </row>
    <row r="85" spans="2:3">
      <c r="B85" s="2" t="s">
        <v>4433</v>
      </c>
      <c r="C85" s="7" t="s">
        <v>4434</v>
      </c>
    </row>
    <row r="86" spans="2:3">
      <c r="B86" s="2" t="s">
        <v>4295</v>
      </c>
      <c r="C86" s="7" t="s">
        <v>4435</v>
      </c>
    </row>
    <row r="87" spans="2:3">
      <c r="B87" s="2" t="s">
        <v>4436</v>
      </c>
      <c r="C87" s="7" t="s">
        <v>4437</v>
      </c>
    </row>
    <row r="88" spans="2:3">
      <c r="B88" s="2" t="s">
        <v>4438</v>
      </c>
      <c r="C88" s="7" t="s">
        <v>4439</v>
      </c>
    </row>
    <row r="89" spans="2:3">
      <c r="B89" s="2" t="s">
        <v>4440</v>
      </c>
      <c r="C89" s="7" t="s">
        <v>4441</v>
      </c>
    </row>
    <row r="90" spans="1:3">
      <c r="A90" s="5">
        <v>44411</v>
      </c>
      <c r="B90" s="2" t="s">
        <v>4442</v>
      </c>
      <c r="C90" s="7" t="s">
        <v>4443</v>
      </c>
    </row>
    <row r="91" spans="2:3">
      <c r="B91" s="2" t="s">
        <v>4444</v>
      </c>
      <c r="C91" s="7" t="s">
        <v>4445</v>
      </c>
    </row>
    <row r="92" spans="2:3">
      <c r="B92" s="2" t="s">
        <v>4446</v>
      </c>
      <c r="C92" s="7" t="s">
        <v>4310</v>
      </c>
    </row>
    <row r="93" spans="1:3">
      <c r="A93" s="5">
        <v>44419</v>
      </c>
      <c r="B93" s="6" t="s">
        <v>4447</v>
      </c>
      <c r="C93" s="7" t="s">
        <v>4448</v>
      </c>
    </row>
    <row r="94" spans="1:3">
      <c r="A94" s="5"/>
      <c r="B94" s="6" t="s">
        <v>4449</v>
      </c>
      <c r="C94" s="7" t="s">
        <v>4450</v>
      </c>
    </row>
    <row r="95" spans="2:3">
      <c r="B95" s="6" t="s">
        <v>4451</v>
      </c>
      <c r="C95" s="7" t="s">
        <v>4452</v>
      </c>
    </row>
    <row r="96" spans="2:3">
      <c r="B96" s="6" t="s">
        <v>4453</v>
      </c>
      <c r="C96" s="7" t="s">
        <v>4454</v>
      </c>
    </row>
    <row r="97" spans="2:3">
      <c r="B97" s="6" t="s">
        <v>4455</v>
      </c>
      <c r="C97" s="7" t="s">
        <v>4456</v>
      </c>
    </row>
    <row r="98" spans="2:3">
      <c r="B98" s="6" t="s">
        <v>4457</v>
      </c>
      <c r="C98" s="7" t="s">
        <v>4448</v>
      </c>
    </row>
    <row r="99" spans="2:3">
      <c r="B99" s="6" t="s">
        <v>4458</v>
      </c>
      <c r="C99" s="7" t="s">
        <v>4459</v>
      </c>
    </row>
    <row r="100" spans="2:3">
      <c r="B100" s="6" t="s">
        <v>4460</v>
      </c>
      <c r="C100" s="7" t="s">
        <v>4461</v>
      </c>
    </row>
    <row r="101" spans="2:3">
      <c r="B101" s="6" t="s">
        <v>4462</v>
      </c>
      <c r="C101" s="7" t="s">
        <v>4463</v>
      </c>
    </row>
    <row r="102" spans="2:3">
      <c r="B102" s="6" t="s">
        <v>4464</v>
      </c>
      <c r="C102" s="7" t="s">
        <v>4465</v>
      </c>
    </row>
    <row r="103" spans="1:3">
      <c r="A103" s="5">
        <v>44439</v>
      </c>
      <c r="B103" s="2" t="s">
        <v>4466</v>
      </c>
      <c r="C103" s="7" t="s">
        <v>4467</v>
      </c>
    </row>
    <row r="104" spans="2:3">
      <c r="B104" s="6" t="s">
        <v>4468</v>
      </c>
      <c r="C104" s="7" t="s">
        <v>4469</v>
      </c>
    </row>
    <row r="105" spans="2:3">
      <c r="B105" s="2" t="s">
        <v>4470</v>
      </c>
      <c r="C105" s="7" t="s">
        <v>4471</v>
      </c>
    </row>
    <row r="106" spans="2:3">
      <c r="B106" s="2" t="s">
        <v>4472</v>
      </c>
      <c r="C106" s="7" t="s">
        <v>4473</v>
      </c>
    </row>
    <row r="107" ht="28.5" spans="1:3">
      <c r="A107" s="5">
        <v>44445</v>
      </c>
      <c r="B107" s="14" t="s">
        <v>4474</v>
      </c>
      <c r="C107" s="7" t="s">
        <v>4475</v>
      </c>
    </row>
    <row r="108" spans="2:3">
      <c r="B108" s="2" t="s">
        <v>4472</v>
      </c>
      <c r="C108" s="7" t="s">
        <v>4476</v>
      </c>
    </row>
    <row r="109" spans="2:3">
      <c r="B109" s="2" t="s">
        <v>4477</v>
      </c>
      <c r="C109" s="7" t="s">
        <v>4478</v>
      </c>
    </row>
    <row r="110" spans="1:3">
      <c r="A110" s="5">
        <v>44480</v>
      </c>
      <c r="B110" s="2" t="s">
        <v>4295</v>
      </c>
      <c r="C110" s="7" t="s">
        <v>4479</v>
      </c>
    </row>
    <row r="111" spans="1:3">
      <c r="A111" s="5">
        <v>44503</v>
      </c>
      <c r="B111" s="2" t="s">
        <v>4361</v>
      </c>
      <c r="C111" s="7" t="s">
        <v>4480</v>
      </c>
    </row>
    <row r="112" spans="2:3">
      <c r="B112" s="2" t="s">
        <v>4481</v>
      </c>
      <c r="C112" s="7" t="s">
        <v>4482</v>
      </c>
    </row>
    <row r="113" spans="2:3">
      <c r="B113" s="2" t="s">
        <v>4483</v>
      </c>
      <c r="C113" s="7" t="s">
        <v>4484</v>
      </c>
    </row>
    <row r="114" spans="2:3">
      <c r="B114" s="2" t="s">
        <v>4485</v>
      </c>
      <c r="C114" s="7" t="s">
        <v>4486</v>
      </c>
    </row>
    <row r="115" spans="2:3">
      <c r="B115" s="2" t="s">
        <v>4487</v>
      </c>
      <c r="C115" s="7" t="s">
        <v>4488</v>
      </c>
    </row>
    <row r="116" spans="2:3">
      <c r="B116" s="2" t="s">
        <v>4489</v>
      </c>
      <c r="C116" s="7" t="s">
        <v>4490</v>
      </c>
    </row>
    <row r="117" spans="2:3">
      <c r="B117" s="2" t="s">
        <v>4491</v>
      </c>
      <c r="C117" s="7" t="s">
        <v>4492</v>
      </c>
    </row>
    <row r="118" spans="2:3">
      <c r="B118" s="2" t="s">
        <v>4493</v>
      </c>
      <c r="C118" s="7" t="s">
        <v>4494</v>
      </c>
    </row>
    <row r="119" spans="2:3">
      <c r="B119" s="2" t="s">
        <v>4495</v>
      </c>
      <c r="C119" s="7" t="s">
        <v>4496</v>
      </c>
    </row>
  </sheetData>
  <pageMargins left="0.7" right="0.7" top="0.75" bottom="0.75" header="0.3" footer="0.3"/>
  <pageSetup paperSize="9" orientation="portrait"/>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3E10097D1046D4ABBA86F30669432DC" ma:contentTypeVersion="16" ma:contentTypeDescription="Crée un document." ma:contentTypeScope="" ma:versionID="b57f7eacb1e1266b7669b23ea12ff094">
  <xsd:schema xmlns:xsd="http://www.w3.org/2001/XMLSchema" xmlns:xs="http://www.w3.org/2001/XMLSchema" xmlns:p="http://schemas.microsoft.com/office/2006/metadata/properties" xmlns:ns2="ccad05b6-d98d-4968-b507-c97e3902ea7c" xmlns:ns3="bf983122-dacb-4485-9674-5dec41ea7233" targetNamespace="http://schemas.microsoft.com/office/2006/metadata/properties" ma:root="true" ma:fieldsID="0d8a5b330f2be1bdd4bdd0cf1767d789" ns2:_="" ns3:_="">
    <xsd:import namespace="ccad05b6-d98d-4968-b507-c97e3902ea7c"/>
    <xsd:import namespace="bf983122-dacb-4485-9674-5dec41ea7233"/>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LengthInSeconds" minOccurs="0"/>
                <xsd:element ref="ns2:MediaServiceDateTaken" minOccurs="0"/>
                <xsd:element ref="ns2:MediaServiceAutoTags" minOccurs="0"/>
                <xsd:element ref="ns2:MediaServiceGenerationTime" minOccurs="0"/>
                <xsd:element ref="ns2:MediaServiceEventHashCode" minOccurs="0"/>
                <xsd:element ref="ns2:MediaServiceOCR" minOccurs="0"/>
                <xsd:element ref="ns2:MediaServiceLocation" minOccurs="0"/>
                <xsd:element ref="ns2:lcf76f155ced4ddcb4097134ff3c332f" minOccurs="0"/>
                <xsd:element ref="ns3:TaxCatchAll"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cad05b6-d98d-4968-b507-c97e3902ea7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LengthInSeconds" ma:index="12" nillable="true" ma:displayName="Length (seconds)" ma:internalName="MediaLengthInSeconds" ma:readOnly="true">
      <xsd:simpleType>
        <xsd:restriction base="dms:Unknown"/>
      </xsd:simpleType>
    </xsd:element>
    <xsd:element name="MediaServiceDateTaken" ma:index="13" nillable="true" ma:displayName="MediaServiceDateTaken" ma:hidden="true" ma:internalName="MediaServiceDateTaken" ma:readOnly="true">
      <xsd:simpleType>
        <xsd:restriction base="dms:Text"/>
      </xsd:simpleType>
    </xsd:element>
    <xsd:element name="MediaServiceAutoTags" ma:index="14" nillable="true" ma:displayName="Tags" ma:internalName="MediaServiceAutoTags"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Location" ma:index="18" nillable="true" ma:displayName="Location" ma:internalName="MediaServiceLocation" ma:readOnly="true">
      <xsd:simpleType>
        <xsd:restriction base="dms:Text"/>
      </xsd:simpleType>
    </xsd:element>
    <xsd:element name="lcf76f155ced4ddcb4097134ff3c332f" ma:index="20" nillable="true" ma:taxonomy="true" ma:internalName="lcf76f155ced4ddcb4097134ff3c332f" ma:taxonomyFieldName="MediaServiceImageTags" ma:displayName="Balises d’images" ma:readOnly="false" ma:fieldId="{5cf76f15-5ced-4ddc-b409-7134ff3c332f}" ma:taxonomyMulti="true" ma:sspId="165086b2-d413-40fa-a1bf-1c6a55b336c5"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bf983122-dacb-4485-9674-5dec41ea7233" elementFormDefault="qualified">
    <xsd:import namespace="http://schemas.microsoft.com/office/2006/documentManagement/types"/>
    <xsd:import namespace="http://schemas.microsoft.com/office/infopath/2007/PartnerControls"/>
    <xsd:element name="TaxCatchAll" ma:index="21" nillable="true" ma:displayName="Taxonomy Catch All Column" ma:hidden="true" ma:list="{7ddc8fb4-ee54-4b47-8be1-6ed5e1007883}" ma:internalName="TaxCatchAll" ma:showField="CatchAllData" ma:web="bf983122-dacb-4485-9674-5dec41ea7233">
      <xsd:complexType>
        <xsd:complexContent>
          <xsd:extension base="dms:MultiChoiceLookup">
            <xsd:sequence>
              <xsd:element name="Value" type="dms:Lookup" maxOccurs="unbounded" minOccurs="0" nillable="true"/>
            </xsd:sequence>
          </xsd:extension>
        </xsd:complexContent>
      </xsd:complexType>
    </xsd:element>
    <xsd:element name="SharedWithUsers" ma:index="22" nillable="true" ma:displayName="Partagé avec"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3" nillable="true" ma:displayName="Partagé avec dé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ccad05b6-d98d-4968-b507-c97e3902ea7c">
      <Terms xmlns="http://schemas.microsoft.com/office/infopath/2007/PartnerControls"/>
    </lcf76f155ced4ddcb4097134ff3c332f>
    <TaxCatchAll xmlns="bf983122-dacb-4485-9674-5dec41ea7233" xsi:nil="true"/>
  </documentManagement>
</p:properties>
</file>

<file path=customXml/itemProps1.xml><?xml version="1.0" encoding="utf-8"?>
<ds:datastoreItem xmlns:ds="http://schemas.openxmlformats.org/officeDocument/2006/customXml" ds:itemID="{9C0424E4-70D0-4297-9071-9B612F98B27B}"/>
</file>

<file path=customXml/itemProps2.xml><?xml version="1.0" encoding="utf-8"?>
<ds:datastoreItem xmlns:ds="http://schemas.openxmlformats.org/officeDocument/2006/customXml" ds:itemID="{82FD8A90-4B68-4EBA-8329-719A9F2AB757}"/>
</file>

<file path=customXml/itemProps3.xml><?xml version="1.0" encoding="utf-8"?>
<ds:datastoreItem xmlns:ds="http://schemas.openxmlformats.org/officeDocument/2006/customXml" ds:itemID="{101EB89F-463D-469C-A755-987668C55FA8}"/>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4</vt:i4>
      </vt:variant>
    </vt:vector>
  </HeadingPairs>
  <TitlesOfParts>
    <vt:vector size="4" baseType="lpstr">
      <vt:lpstr>Protocol Explanation</vt:lpstr>
      <vt:lpstr>Registers</vt:lpstr>
      <vt:lpstr>Fault Addresses</vt:lpstr>
      <vt:lpstr>Version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cp:lastModifiedBy>
  <dcterms:created xsi:type="dcterms:W3CDTF">2008-09-11T17:22:00Z</dcterms:created>
  <dcterms:modified xsi:type="dcterms:W3CDTF">2021-12-25T09:11:13Z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2052-11.1.0.11045</vt:lpwstr>
  </property>
  <property fmtid="{D5CDD505-2E9C-101B-9397-08002B2CF9AE}" pid="3" name="ICV">
    <vt:lpwstr>7DBFB97953F64E47822E16A5C8EF1B62</vt:lpwstr>
  </property>
  <property fmtid="{D5CDD505-2E9C-101B-9397-08002B2CF9AE}" pid="4" name="ContentTypeId">
    <vt:lpwstr>0x01010073E10097D1046D4ABBA86F30669432DC</vt:lpwstr>
  </property>
</Properties>
</file>